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 Table" sheetId="1" r:id="rId3"/>
    <sheet state="visible" name="Fee Breakdown" sheetId="2" r:id="rId4"/>
    <sheet state="visible" name="New Services - Budget Breakdown" sheetId="3" r:id="rId5"/>
    <sheet state="visible" name="Chart - Surplus (Deficit)" sheetId="4" r:id="rId6"/>
    <sheet state="visible" name="Chart - Fee Breakdown" sheetId="5" r:id="rId7"/>
    <sheet state="visible" name="Model Summary" sheetId="6" r:id="rId8"/>
    <sheet state="visible" name="Fee Revenue" sheetId="7" r:id="rId9"/>
  </sheets>
  <definedNames>
    <definedName localSheetId="5" name="solver_adj">'Model Summary'!$CP$66</definedName>
    <definedName localSheetId="5" name="solver_lhs1">'Model Summary'!$CM$65</definedName>
    <definedName localSheetId="5" name="solver_opt">'Model Summary'!$CM$65</definedName>
  </definedNames>
  <calcPr/>
</workbook>
</file>

<file path=xl/sharedStrings.xml><?xml version="1.0" encoding="utf-8"?>
<sst xmlns="http://schemas.openxmlformats.org/spreadsheetml/2006/main" count="732" uniqueCount="180">
  <si>
    <t>Wellness Referendum</t>
  </si>
  <si>
    <t>Fee Table – 30 years</t>
  </si>
  <si>
    <t>prepared by Hugh G. Graham, Campus Budget Office</t>
  </si>
  <si>
    <t>Fall/Spring per semester</t>
  </si>
  <si>
    <t>Summer</t>
  </si>
  <si>
    <t>Year</t>
  </si>
  <si>
    <t>current 
base fees</t>
  </si>
  <si>
    <t>RSF membership fee</t>
  </si>
  <si>
    <t>additional
fee</t>
  </si>
  <si>
    <t>total 
fee</t>
  </si>
  <si>
    <t>fee in
2015 dollars *</t>
  </si>
  <si>
    <t>2015-16</t>
  </si>
  <si>
    <t>2016-17</t>
  </si>
  <si>
    <t>same as Fall/Spring</t>
  </si>
  <si>
    <t>2017-18</t>
  </si>
  <si>
    <t>"                               "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</si>
  <si>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</si>
  <si>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</si>
  <si>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</si>
  <si>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</si>
  <si>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</si>
  <si>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</si>
  <si>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</si>
  <si>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</si>
  <si>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</si>
  <si>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</si>
  <si>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</si>
  <si>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</si>
  <si>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</si>
  <si>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</si>
  <si>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</si>
  <si>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</si>
  <si>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</si>
  <si>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</si>
  <si>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</si>
  <si>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</si>
  <si>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</si>
  <si>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</si>
  <si>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</si>
  <si>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</si>
  <si>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</si>
  <si>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</si>
  <si>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</si>
  <si>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* assumes inflation of:</t>
  </si>
  <si>
    <t>Fee Breakdown</t>
  </si>
  <si>
    <t>Approximate break-down of gross fee revenue (subject to change)</t>
  </si>
  <si>
    <t xml:space="preserve">Return-to-aid </t>
  </si>
  <si>
    <t>(33% for all UC students, 0% non-UC summer students)</t>
  </si>
  <si>
    <t>RSF Existing Services &amp; Programs</t>
  </si>
  <si>
    <t>UHS extended hours, sexual assault student resources, and improved mental health counseling along with operational, furnishing, and alteration costs to provide such services</t>
  </si>
  <si>
    <t>New wellness services including operational, furnishings, and alteration costs to provide such services</t>
  </si>
  <si>
    <t>Diversity student wellness programs and associated costs</t>
  </si>
  <si>
    <t>Wellness sustainability plan to lower student costs over time</t>
  </si>
  <si>
    <t>Sexual assault prevention and support</t>
  </si>
  <si>
    <t>TOTAL</t>
  </si>
  <si>
    <t>New Services – Budget Breakdown</t>
  </si>
  <si>
    <t>5a.</t>
  </si>
  <si>
    <t>UHS extended hours and improved mental health counseling along with operational, furnishing, and alteration costs to provide such services</t>
  </si>
  <si>
    <t>UHS</t>
  </si>
  <si>
    <t>$</t>
  </si>
  <si>
    <t>%</t>
  </si>
  <si>
    <t>Hours of operation:</t>
  </si>
  <si>
    <t>2 evenings until 8pm</t>
  </si>
  <si>
    <t>Sunday</t>
  </si>
  <si>
    <t>Saturday</t>
  </si>
  <si>
    <t>subtotal</t>
  </si>
  <si>
    <t>counselings in academic bldgs</t>
  </si>
  <si>
    <t>counselings in primary care</t>
  </si>
  <si>
    <t>5b.</t>
  </si>
  <si>
    <t>RSF</t>
  </si>
  <si>
    <t>Item X</t>
  </si>
  <si>
    <t>Item Y</t>
  </si>
  <si>
    <t>Item Z</t>
  </si>
  <si>
    <t>5c.</t>
  </si>
  <si>
    <t>5d.</t>
  </si>
  <si>
    <t>5e.</t>
  </si>
  <si>
    <t>Dean of Students</t>
  </si>
  <si>
    <t>5f.</t>
  </si>
  <si>
    <t xml:space="preserve">Campus-wide wellness incentive program </t>
  </si>
  <si>
    <t>Wellness Referendum Model
Surplus (Deficit) Chart – 30 years</t>
  </si>
  <si>
    <t>$ in millions</t>
  </si>
  <si>
    <t>Surplus (Deficit)</t>
  </si>
  <si>
    <t>RSF Existing Services</t>
  </si>
  <si>
    <t>New Services</t>
  </si>
  <si>
    <t>COMBINED</t>
  </si>
  <si>
    <t>Wellness Referendum Model
Fee $'s Per Year Breakdown  – 30 years</t>
  </si>
  <si>
    <t>Breakdown of 
Fee $'s Per Year</t>
  </si>
  <si>
    <t>Return-to-aid</t>
  </si>
  <si>
    <t>ISF Debt Service</t>
  </si>
  <si>
    <t>RSF equip/maint reserves</t>
  </si>
  <si>
    <t>Wellness Referendum Model</t>
  </si>
  <si>
    <t>Model Summary – 30 years</t>
  </si>
  <si>
    <t>REVISED DRAFT 2/26/15</t>
  </si>
  <si>
    <t>% growth</t>
  </si>
  <si>
    <t>% of gross fee</t>
  </si>
  <si>
    <t>REVENUE / INFLOWS</t>
  </si>
  <si>
    <t xml:space="preserve"> Net Fee Revenue - TOTAL </t>
  </si>
  <si>
    <t>a.</t>
  </si>
  <si>
    <t>Gross Fee Revenue</t>
  </si>
  <si>
    <t>n/a</t>
  </si>
  <si>
    <t>b.</t>
  </si>
  <si>
    <t>Less: Return-to-Aid (UC students only)</t>
  </si>
  <si>
    <t>c.</t>
  </si>
  <si>
    <t>TOTAL NET FEE REVENUE (= line 3)</t>
  </si>
  <si>
    <t xml:space="preserve"> Net Fee Revenue - BREAKDOWN</t>
  </si>
  <si>
    <t>RSF Base Fee Revenue</t>
  </si>
  <si>
    <t>RSF Membership Fee Buy-Out Revenue</t>
  </si>
  <si>
    <t>RSF - TOTAL NET FEE REVENUE</t>
  </si>
  <si>
    <t>d.</t>
  </si>
  <si>
    <t>New Fee Increment - Net Revenue</t>
  </si>
  <si>
    <t>TOTAL NET FEE REVENUE (= line 1c)</t>
  </si>
  <si>
    <t>EXPENSES / OUTFLOWS</t>
  </si>
  <si>
    <t>RSF - Existing Services</t>
  </si>
  <si>
    <t xml:space="preserve">a. </t>
  </si>
  <si>
    <t>Programs &amp; Services supported by previous fees, net of other revenues</t>
  </si>
  <si>
    <t>California Memorial Stadium Fitness Center</t>
  </si>
  <si>
    <t>Operations net deficit</t>
  </si>
  <si>
    <t>Debt service</t>
  </si>
  <si>
    <t>subtotal - RSF operations</t>
  </si>
  <si>
    <t>ISF Debt service (expires in Spring 2017)</t>
  </si>
  <si>
    <t>e.</t>
  </si>
  <si>
    <t>RSF equipment &amp; maintenance reserves</t>
  </si>
  <si>
    <t>f.</t>
  </si>
  <si>
    <t>subtotal - RSF Existing Services</t>
  </si>
  <si>
    <t>UHS extended hours &amp; improved mental health counseling along with operational, furnishing, &amp; alteration costs to provide such services</t>
  </si>
  <si>
    <t>New wellness services including operational, furnishings, &amp; alteration costs to provide such services</t>
  </si>
  <si>
    <t>g.</t>
  </si>
  <si>
    <t>subtotal - New Services</t>
  </si>
  <si>
    <t>TOTAL EXPENSES / OUTFLOWS</t>
  </si>
  <si>
    <t>-</t>
  </si>
  <si>
    <t>RSF Existing Services – SURPLUS (DEFICIT): lines 2f - 4f</t>
  </si>
  <si>
    <t>New Services – SURPLUS (DEFICIT): line 2d - 5g</t>
  </si>
  <si>
    <t>total over 30 years</t>
  </si>
  <si>
    <t>TOTAL SURPLUS (DEFICIT)</t>
  </si>
  <si>
    <t>fee escalator (linked to Fee Revenue tab)</t>
  </si>
  <si>
    <t>Notes:</t>
  </si>
  <si>
    <t>Line 1b, Return-to-aid: this is a blended rate that includes non-UC students in Summer.</t>
  </si>
  <si>
    <t>Line 4a: In 2026-27, RSF pays off deficit of $244K/year paid for from other revenue sources.</t>
  </si>
  <si>
    <t>Line 4b: CMS expenses include full rent (no subsidy) starting in 2016-17; final year of debt service at $245K/year is 2020-21.</t>
  </si>
  <si>
    <t>Lines 5a-f: These numbers need to be reality-checked against the program budgets covering the scope of each component.</t>
  </si>
  <si>
    <t>Fee Revenue – 30 years</t>
  </si>
  <si>
    <t>Fees in bold are existing fees</t>
  </si>
  <si>
    <t>YEAR:</t>
  </si>
  <si>
    <t>FALL/SPRING</t>
  </si>
  <si>
    <t>Fall/Spring</t>
  </si>
  <si>
    <t>Intramural Sports Facility Fee per semester</t>
  </si>
  <si>
    <t>Recreational Sports Fee per semester</t>
  </si>
  <si>
    <t>escalator</t>
  </si>
  <si>
    <t>subtotal - base RSF fees per semester</t>
  </si>
  <si>
    <t>RSF membership fee buy-out</t>
  </si>
  <si>
    <t>New Fee Increment</t>
  </si>
  <si>
    <t>TOTAL FEE - FALL/SPRING (rounded to whole $'s)</t>
  </si>
  <si>
    <t>total blended growth % after rounding</t>
  </si>
  <si>
    <t>SUMMER</t>
  </si>
  <si>
    <t>Intramural Sports Facility Fee</t>
  </si>
  <si>
    <t>Recreational Sports Fee</t>
  </si>
  <si>
    <t>subtotal - base RSF fees</t>
  </si>
  <si>
    <t>TOTAL FEE - SUMMER (rounded to whole $'s)</t>
  </si>
  <si>
    <t>Student Headcount Assumptions</t>
  </si>
  <si>
    <t>Fall</t>
  </si>
  <si>
    <t>Spring</t>
  </si>
  <si>
    <t>Summer UC</t>
  </si>
  <si>
    <t>Summer non-UC</t>
  </si>
  <si>
    <t>RSF BASE FEE REVENUE</t>
  </si>
  <si>
    <t>Gross Fee Revenue - Fall + Spring</t>
  </si>
  <si>
    <t>Less: return-to-aid (gross revenue / 3)</t>
  </si>
  <si>
    <t>Gross Fee Revenue - Summer UC</t>
  </si>
  <si>
    <t>Gross Fee Revenue - Summer non-UC</t>
  </si>
  <si>
    <t>Net Fee Revenue</t>
  </si>
  <si>
    <t>net - RSF BASE FEE REVENUE</t>
  </si>
  <si>
    <t>RSF MEMBERSHIP FEE BUY-OUT REVENUE</t>
  </si>
  <si>
    <t>net - RSF MEMBERSHIP FEE BUY-OUT REVENUE</t>
  </si>
  <si>
    <t>NEW FEE INCREMENT REVENUE</t>
  </si>
  <si>
    <t>net - NEW FEE INCREMENT REVENUE</t>
  </si>
  <si>
    <t>TOTAL FEE REVENUE</t>
  </si>
  <si>
    <t>Less: return-to-aid</t>
  </si>
  <si>
    <t>net - TOTAL FEE REVENUE</t>
  </si>
  <si>
    <t>total check</t>
  </si>
  <si>
    <t>difference</t>
  </si>
  <si>
    <t>total fee revenue per v13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</si>
</sst>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#."/>
    <numFmt numFmtId="165" formatCode="&quot;$&quot;#,##0_);\(&quot;$&quot;#,##0\)"/>
    <numFmt numFmtId="166" formatCode="_(&quot;$&quot;* #,##0.00_);_(&quot;$&quot;* \(#,##0.00\);_(&quot;$&quot;* &quot;-&quot;??_);_(@_)"/>
    <numFmt numFmtId="167" formatCode="0.0%"/>
    <numFmt numFmtId="168" formatCode="_(* #,##0.00_);_(* \(#,##0.00\);_(* &quot;-&quot;??_);_(@_)"/>
    <numFmt numFmtId="169" formatCode="_(* #,##0_);_(* \(#,##0\);_(* &quot;-&quot;??_);_(@_)"/>
    <numFmt numFmtId="170" formatCode="_(* #,##0.0_);_(* \(#,##0.0\);_(* &quot;-&quot;??_);_(@_)"/>
    <numFmt numFmtId="171" formatCode="0.###,,;[Red]\(0.###,,\)"/>
    <numFmt numFmtId="172" formatCode="_(* #,##0_);[Red]_(* \(#,##0\);_(* &quot;-&quot;_);_(@_)"/>
    <numFmt numFmtId="173" formatCode="_(* #,##0_);[Red]_(* \(#,##0\);_(* &quot;0&quot;_);_(@_)"/>
    <numFmt numFmtId="174" formatCode="0%;[Red]\-0%"/>
    <numFmt numFmtId="175" formatCode="0.00%;[Red]\-0.00%"/>
    <numFmt numFmtId="176" formatCode="0.0000%"/>
    <numFmt numFmtId="177" formatCode="0.000%"/>
    <numFmt numFmtId="178" formatCode="_(&quot;$&quot;* #,##0_);_(&quot;$&quot;* \(#,##0\);_(&quot;$&quot;* &quot;-&quot;??_);_(@_)"/>
  </numFmts>
  <fonts count="23">
    <font>
      <sz val="11.0"/>
      <color rgb="FF000000"/>
      <name val="Calibri"/>
    </font>
    <font>
      <b/>
      <sz val="18.0"/>
      <color rgb="FF000000"/>
      <name val="Calibri"/>
    </font>
    <font>
      <b/>
      <sz val="14.0"/>
      <color rgb="FF000000"/>
      <name val="Calibri"/>
    </font>
    <font>
      <b/>
      <i/>
      <sz val="14.0"/>
      <color rgb="FFFF0000"/>
      <name val="Calibri"/>
    </font>
    <font>
      <b/>
      <sz val="11.0"/>
      <color rgb="FF000000"/>
      <name val="Calibri"/>
    </font>
    <font/>
    <font>
      <b/>
      <sz val="10.0"/>
      <color rgb="FF000000"/>
      <name val="Calibri"/>
    </font>
    <font>
      <sz val="11.0"/>
      <color rgb="FF0070C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trike/>
      <sz val="11.0"/>
      <color rgb="FF000000"/>
      <name val="Calibri"/>
    </font>
    <font>
      <i/>
      <sz val="11.0"/>
      <color rgb="FF000000"/>
      <name val="Calibri"/>
    </font>
    <font>
      <sz val="11.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trike/>
      <sz val="11.0"/>
      <color rgb="FF0070C0"/>
      <name val="Calibri"/>
    </font>
    <font>
      <sz val="11.0"/>
      <color rgb="FF595959"/>
      <name val="Calibri"/>
    </font>
    <font>
      <u/>
      <sz val="11.0"/>
      <color rgb="FF000000"/>
      <name val="Calibri"/>
    </font>
    <font>
      <b/>
      <u/>
      <sz val="14.0"/>
      <color rgb="FF000000"/>
      <name val="Calibri"/>
    </font>
    <font>
      <sz val="11.0"/>
      <color rgb="FF7F7F7F"/>
      <name val="Calibri"/>
    </font>
    <font>
      <sz val="10.0"/>
      <color rgb="FF0070C0"/>
      <name val="Calibri"/>
    </font>
    <font>
      <i/>
      <sz val="11.0"/>
      <color rgb="FF7F7F7F"/>
      <name val="Calibri"/>
    </font>
    <font>
      <sz val="14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</fills>
  <borders count="22">
    <border/>
    <border>
      <bottom style="thin">
        <color rgb="FF000000"/>
      </bottom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</border>
    <border>
      <right style="thin">
        <color rgb="FF000000"/>
      </right>
    </border>
    <border>
      <left/>
      <right/>
      <top/>
      <bottom/>
    </border>
    <border>
      <left/>
      <right/>
      <top/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1" numFmtId="164" xfId="0" applyAlignment="1" applyFont="1" applyNumberFormat="1">
      <alignment horizontal="left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0" numFmtId="164" xfId="0" applyAlignment="1" applyFont="1" applyNumberFormat="1">
      <alignment horizontal="left" shrinkToFit="0" wrapText="0"/>
    </xf>
    <xf borderId="0" fillId="0" fontId="3" numFmtId="164" xfId="0" applyAlignment="1" applyFont="1" applyNumberFormat="1">
      <alignment horizontal="left" shrinkToFit="0" vertical="center" wrapText="0"/>
    </xf>
    <xf borderId="0" fillId="0" fontId="4" numFmtId="0" xfId="0" applyAlignment="1" applyFont="1">
      <alignment shrinkToFit="0" wrapText="0"/>
    </xf>
    <xf borderId="1" fillId="0" fontId="4" numFmtId="0" xfId="0" applyAlignment="1" applyBorder="1" applyFont="1">
      <alignment horizontal="center" shrinkToFit="0" vertical="center" wrapText="0"/>
    </xf>
    <xf borderId="1" fillId="0" fontId="5" numFmtId="0" xfId="0" applyBorder="1" applyFont="1"/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wrapText="0"/>
    </xf>
    <xf borderId="1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wrapText="0"/>
    </xf>
    <xf borderId="0" fillId="0" fontId="0" numFmtId="165" xfId="0" applyAlignment="1" applyFont="1" applyNumberFormat="1">
      <alignment horizontal="center" shrinkToFit="0" wrapText="0"/>
    </xf>
    <xf borderId="0" fillId="0" fontId="0" numFmtId="165" xfId="0" applyAlignment="1" applyFont="1" applyNumberFormat="1">
      <alignment horizontal="center" readingOrder="0" shrinkToFit="0" wrapText="0"/>
    </xf>
    <xf borderId="0" fillId="0" fontId="0" numFmtId="166" xfId="0" applyAlignment="1" applyFont="1" applyNumberFormat="1">
      <alignment horizontal="center" shrinkToFit="0" wrapText="0"/>
    </xf>
    <xf borderId="1" fillId="0" fontId="0" numFmtId="0" xfId="0" applyAlignment="1" applyBorder="1" applyFont="1">
      <alignment shrinkToFit="0" wrapText="0"/>
    </xf>
    <xf borderId="1" fillId="0" fontId="0" numFmtId="165" xfId="0" applyAlignment="1" applyBorder="1" applyFont="1" applyNumberFormat="1">
      <alignment horizontal="center" shrinkToFit="0" wrapText="0"/>
    </xf>
    <xf borderId="2" fillId="2" fontId="7" numFmtId="10" xfId="0" applyAlignment="1" applyBorder="1" applyFill="1" applyFont="1" applyNumberFormat="1">
      <alignment horizontal="center" shrinkToFit="0" wrapText="0"/>
    </xf>
    <xf borderId="1" fillId="0" fontId="4" numFmtId="0" xfId="0" applyAlignment="1" applyBorder="1" applyFont="1">
      <alignment shrinkToFit="0" wrapText="0"/>
    </xf>
    <xf borderId="1" fillId="0" fontId="8" numFmtId="0" xfId="0" applyAlignment="1" applyBorder="1" applyFont="1">
      <alignment shrinkToFit="0" wrapText="0"/>
    </xf>
    <xf borderId="1" fillId="0" fontId="9" numFmtId="0" xfId="0" applyAlignment="1" applyBorder="1" applyFont="1">
      <alignment horizontal="center" shrinkToFit="0" wrapText="0"/>
    </xf>
    <xf borderId="0" fillId="0" fontId="8" numFmtId="0" xfId="0" applyAlignment="1" applyFont="1">
      <alignment shrinkToFit="0" wrapText="0"/>
    </xf>
    <xf borderId="0" fillId="0" fontId="0" numFmtId="164" xfId="0" applyAlignment="1" applyFont="1" applyNumberFormat="1">
      <alignment horizontal="right" shrinkToFit="0" vertical="top" wrapText="0"/>
    </xf>
    <xf borderId="0" fillId="0" fontId="8" numFmtId="9" xfId="0" applyAlignment="1" applyFont="1" applyNumberFormat="1">
      <alignment horizontal="center" shrinkToFit="0" vertical="top" wrapText="0"/>
    </xf>
    <xf borderId="0" fillId="0" fontId="8" numFmtId="0" xfId="0" applyAlignment="1" applyFont="1">
      <alignment horizontal="left" shrinkToFit="0" vertical="top" wrapText="1"/>
    </xf>
    <xf borderId="1" fillId="0" fontId="0" numFmtId="164" xfId="0" applyAlignment="1" applyBorder="1" applyFont="1" applyNumberFormat="1">
      <alignment horizontal="right" shrinkToFit="0" vertical="top" wrapText="0"/>
    </xf>
    <xf borderId="1" fillId="0" fontId="8" numFmtId="0" xfId="0" applyAlignment="1" applyBorder="1" applyFont="1">
      <alignment horizontal="center" shrinkToFit="0" wrapText="0"/>
    </xf>
    <xf borderId="0" fillId="0" fontId="4" numFmtId="164" xfId="0" applyAlignment="1" applyFont="1" applyNumberFormat="1">
      <alignment horizontal="left" shrinkToFit="0" vertical="top" wrapText="0"/>
    </xf>
    <xf borderId="0" fillId="0" fontId="8" numFmtId="167" xfId="0" applyAlignment="1" applyFont="1" applyNumberFormat="1">
      <alignment horizontal="center" shrinkToFit="0" wrapText="0"/>
    </xf>
    <xf borderId="0" fillId="0" fontId="0" numFmtId="168" xfId="0" applyAlignment="1" applyFont="1" applyNumberFormat="1">
      <alignment shrinkToFit="0" wrapText="0"/>
    </xf>
    <xf borderId="0" fillId="0" fontId="0" numFmtId="0" xfId="0" applyAlignment="1" applyFont="1">
      <alignment horizontal="center" shrinkToFit="0" wrapText="0"/>
    </xf>
    <xf borderId="0" fillId="0" fontId="0" numFmtId="0" xfId="0" applyAlignment="1" applyFont="1">
      <alignment shrinkToFit="0" vertical="top" wrapText="1"/>
    </xf>
    <xf borderId="3" fillId="0" fontId="5" numFmtId="0" xfId="0" applyBorder="1" applyFont="1"/>
    <xf borderId="0" fillId="0" fontId="0" numFmtId="168" xfId="0" applyAlignment="1" applyFont="1" applyNumberFormat="1">
      <alignment horizontal="center" shrinkToFit="0" wrapText="0"/>
    </xf>
    <xf borderId="1" fillId="0" fontId="0" numFmtId="168" xfId="0" applyAlignment="1" applyBorder="1" applyFont="1" applyNumberFormat="1">
      <alignment horizontal="center" shrinkToFit="0" wrapText="0"/>
    </xf>
    <xf borderId="1" fillId="0" fontId="0" numFmtId="0" xfId="0" applyAlignment="1" applyBorder="1" applyFont="1">
      <alignment horizontal="center" shrinkToFit="0" wrapText="0"/>
    </xf>
    <xf borderId="4" fillId="3" fontId="0" numFmtId="0" xfId="0" applyAlignment="1" applyBorder="1" applyFill="1" applyFont="1">
      <alignment horizontal="left" shrinkToFit="0" wrapText="0"/>
    </xf>
    <xf borderId="4" fillId="3" fontId="0" numFmtId="169" xfId="0" applyAlignment="1" applyBorder="1" applyFont="1" applyNumberFormat="1">
      <alignment shrinkToFit="0" wrapText="0"/>
    </xf>
    <xf borderId="0" fillId="0" fontId="0" numFmtId="170" xfId="0" applyAlignment="1" applyFont="1" applyNumberFormat="1">
      <alignment shrinkToFit="0" wrapText="0"/>
    </xf>
    <xf borderId="0" fillId="0" fontId="0" numFmtId="9" xfId="0" applyAlignment="1" applyFont="1" applyNumberFormat="1">
      <alignment horizontal="center" shrinkToFit="0" wrapText="0"/>
    </xf>
    <xf borderId="0" fillId="0" fontId="0" numFmtId="169" xfId="0" applyAlignment="1" applyFont="1" applyNumberFormat="1">
      <alignment shrinkToFit="0" wrapText="0"/>
    </xf>
    <xf borderId="5" fillId="3" fontId="0" numFmtId="169" xfId="0" applyAlignment="1" applyBorder="1" applyFont="1" applyNumberFormat="1">
      <alignment shrinkToFit="0" wrapText="0"/>
    </xf>
    <xf borderId="1" fillId="0" fontId="0" numFmtId="9" xfId="0" applyAlignment="1" applyBorder="1" applyFont="1" applyNumberFormat="1">
      <alignment horizontal="center" shrinkToFit="0" wrapText="0"/>
    </xf>
    <xf borderId="1" fillId="0" fontId="0" numFmtId="169" xfId="0" applyAlignment="1" applyBorder="1" applyFont="1" applyNumberFormat="1">
      <alignment shrinkToFit="0" wrapText="0"/>
    </xf>
    <xf borderId="0" fillId="0" fontId="0" numFmtId="0" xfId="0" applyAlignment="1" applyFont="1">
      <alignment horizontal="right" shrinkToFit="0" wrapText="0"/>
    </xf>
    <xf borderId="0" fillId="0" fontId="10" numFmtId="0" xfId="0" applyAlignment="1" applyFont="1">
      <alignment shrinkToFit="0" wrapText="0"/>
    </xf>
    <xf borderId="0" fillId="0" fontId="10" numFmtId="169" xfId="0" applyAlignment="1" applyFont="1" applyNumberFormat="1">
      <alignment shrinkToFit="0" wrapText="0"/>
    </xf>
    <xf borderId="0" fillId="0" fontId="10" numFmtId="170" xfId="0" applyAlignment="1" applyFont="1" applyNumberFormat="1">
      <alignment shrinkToFit="0" wrapText="0"/>
    </xf>
    <xf borderId="0" fillId="0" fontId="10" numFmtId="9" xfId="0" applyAlignment="1" applyFont="1" applyNumberFormat="1">
      <alignment horizontal="center" shrinkToFit="0" wrapText="0"/>
    </xf>
    <xf borderId="4" fillId="3" fontId="0" numFmtId="0" xfId="0" applyAlignment="1" applyBorder="1" applyFont="1">
      <alignment shrinkToFit="0" wrapText="0"/>
    </xf>
    <xf borderId="6" fillId="0" fontId="0" numFmtId="169" xfId="0" applyAlignment="1" applyBorder="1" applyFont="1" applyNumberFormat="1">
      <alignment shrinkToFit="0" wrapText="0"/>
    </xf>
    <xf borderId="6" fillId="0" fontId="0" numFmtId="9" xfId="0" applyAlignment="1" applyBorder="1" applyFont="1" applyNumberFormat="1">
      <alignment horizontal="center" shrinkToFit="0" wrapText="0"/>
    </xf>
    <xf borderId="4" fillId="3" fontId="0" numFmtId="170" xfId="0" applyAlignment="1" applyBorder="1" applyFont="1" applyNumberFormat="1">
      <alignment shrinkToFit="0" wrapText="0"/>
    </xf>
    <xf borderId="4" fillId="3" fontId="0" numFmtId="9" xfId="0" applyAlignment="1" applyBorder="1" applyFont="1" applyNumberFormat="1">
      <alignment horizontal="center" shrinkToFit="0" wrapText="0"/>
    </xf>
    <xf borderId="0" fillId="0" fontId="1" numFmtId="164" xfId="0" applyAlignment="1" applyFont="1" applyNumberFormat="1">
      <alignment horizontal="left" shrinkToFit="0" wrapText="1"/>
    </xf>
    <xf borderId="0" fillId="0" fontId="11" numFmtId="0" xfId="0" applyAlignment="1" applyFont="1">
      <alignment shrinkToFit="0" wrapText="0"/>
    </xf>
    <xf borderId="1" fillId="0" fontId="12" numFmtId="0" xfId="0" applyAlignment="1" applyBorder="1" applyFont="1">
      <alignment horizontal="right" shrinkToFit="0" vertical="center" wrapText="0"/>
    </xf>
    <xf borderId="7" fillId="0" fontId="12" numFmtId="0" xfId="0" applyAlignment="1" applyBorder="1" applyFont="1">
      <alignment horizontal="right" shrinkToFit="0" vertical="center" wrapText="0"/>
    </xf>
    <xf borderId="8" fillId="0" fontId="0" numFmtId="0" xfId="0" applyAlignment="1" applyBorder="1" applyFont="1">
      <alignment horizontal="left" shrinkToFit="0" wrapText="0"/>
    </xf>
    <xf borderId="0" fillId="0" fontId="0" numFmtId="171" xfId="0" applyAlignment="1" applyFont="1" applyNumberFormat="1">
      <alignment shrinkToFit="0" wrapText="0"/>
    </xf>
    <xf borderId="7" fillId="0" fontId="0" numFmtId="171" xfId="0" applyAlignment="1" applyBorder="1" applyFont="1" applyNumberFormat="1">
      <alignment shrinkToFit="0" wrapText="0"/>
    </xf>
    <xf borderId="1" fillId="0" fontId="0" numFmtId="0" xfId="0" applyAlignment="1" applyBorder="1" applyFont="1">
      <alignment horizontal="left" shrinkToFit="0" wrapText="0"/>
    </xf>
    <xf borderId="1" fillId="0" fontId="0" numFmtId="171" xfId="0" applyAlignment="1" applyBorder="1" applyFont="1" applyNumberFormat="1">
      <alignment shrinkToFit="0" wrapText="0"/>
    </xf>
    <xf borderId="9" fillId="0" fontId="0" numFmtId="171" xfId="0" applyAlignment="1" applyBorder="1" applyFont="1" applyNumberFormat="1">
      <alignment shrinkToFit="0" wrapText="0"/>
    </xf>
    <xf borderId="0" fillId="0" fontId="12" numFmtId="0" xfId="0" applyAlignment="1" applyFont="1">
      <alignment horizontal="right" shrinkToFit="0" wrapText="0"/>
    </xf>
    <xf borderId="0" fillId="0" fontId="12" numFmtId="9" xfId="0" applyAlignment="1" applyFont="1" applyNumberFormat="1">
      <alignment shrinkToFit="0" wrapText="0"/>
    </xf>
    <xf borderId="1" fillId="0" fontId="0" numFmtId="0" xfId="0" applyAlignment="1" applyBorder="1" applyFont="1">
      <alignment horizontal="left" shrinkToFit="0" wrapText="1"/>
    </xf>
    <xf borderId="0" fillId="0" fontId="0" numFmtId="0" xfId="0" applyAlignment="1" applyFont="1">
      <alignment horizontal="left" shrinkToFit="0" wrapText="0"/>
    </xf>
    <xf borderId="0" fillId="0" fontId="0" numFmtId="164" xfId="0" applyAlignment="1" applyFont="1" applyNumberFormat="1">
      <alignment horizontal="center" shrinkToFit="0" wrapText="0"/>
    </xf>
    <xf borderId="0" fillId="0" fontId="0" numFmtId="0" xfId="0" applyAlignment="1" applyFont="1">
      <alignment shrinkToFit="0" wrapText="1"/>
    </xf>
    <xf borderId="10" fillId="0" fontId="13" numFmtId="0" xfId="0" applyAlignment="1" applyBorder="1" applyFont="1">
      <alignment horizontal="center" shrinkToFit="0" wrapText="0"/>
    </xf>
    <xf borderId="8" fillId="0" fontId="5" numFmtId="0" xfId="0" applyBorder="1" applyFont="1"/>
    <xf borderId="1" fillId="0" fontId="3" numFmtId="164" xfId="0" applyAlignment="1" applyBorder="1" applyFont="1" applyNumberFormat="1">
      <alignment horizontal="left" shrinkToFit="0" vertical="center" wrapText="1"/>
    </xf>
    <xf borderId="9" fillId="0" fontId="0" numFmtId="0" xfId="0" applyAlignment="1" applyBorder="1" applyFont="1">
      <alignment horizontal="center" shrinkToFit="0" wrapText="0"/>
    </xf>
    <xf borderId="1" fillId="0" fontId="0" numFmtId="0" xfId="0" applyAlignment="1" applyBorder="1" applyFont="1">
      <alignment horizontal="center" shrinkToFit="0" wrapText="1"/>
    </xf>
    <xf borderId="11" fillId="0" fontId="0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shrinkToFit="0" vertical="top" wrapText="0"/>
    </xf>
    <xf borderId="13" fillId="0" fontId="0" numFmtId="0" xfId="0" applyAlignment="1" applyBorder="1" applyFont="1">
      <alignment shrinkToFit="0" vertical="top" wrapText="0"/>
    </xf>
    <xf borderId="7" fillId="0" fontId="0" numFmtId="0" xfId="0" applyAlignment="1" applyBorder="1" applyFont="1">
      <alignment horizontal="center" shrinkToFit="0" wrapText="0"/>
    </xf>
    <xf borderId="3" fillId="0" fontId="0" numFmtId="0" xfId="0" applyAlignment="1" applyBorder="1" applyFont="1">
      <alignment horizontal="center" shrinkToFit="0" wrapText="0"/>
    </xf>
    <xf borderId="7" fillId="0" fontId="0" numFmtId="164" xfId="0" applyAlignment="1" applyBorder="1" applyFont="1" applyNumberFormat="1">
      <alignment horizontal="center" shrinkToFit="0" vertical="top" wrapText="0"/>
    </xf>
    <xf borderId="3" fillId="0" fontId="14" numFmtId="0" xfId="0" applyAlignment="1" applyBorder="1" applyFont="1">
      <alignment shrinkToFit="0" vertical="top" wrapText="0"/>
    </xf>
    <xf borderId="3" fillId="0" fontId="0" numFmtId="0" xfId="0" applyAlignment="1" applyBorder="1" applyFont="1">
      <alignment horizontal="left" shrinkToFit="0" vertical="top" wrapText="0"/>
    </xf>
    <xf borderId="7" fillId="0" fontId="0" numFmtId="169" xfId="0" applyAlignment="1" applyBorder="1" applyFont="1" applyNumberFormat="1">
      <alignment horizontal="center" shrinkToFit="0" wrapText="0"/>
    </xf>
    <xf borderId="3" fillId="0" fontId="0" numFmtId="9" xfId="0" applyAlignment="1" applyBorder="1" applyFont="1" applyNumberFormat="1">
      <alignment horizontal="center" shrinkToFit="0" wrapText="0"/>
    </xf>
    <xf borderId="0" fillId="0" fontId="0" numFmtId="10" xfId="0" applyAlignment="1" applyFont="1" applyNumberFormat="1">
      <alignment horizontal="center" shrinkToFit="0" wrapText="0"/>
    </xf>
    <xf borderId="9" fillId="0" fontId="0" numFmtId="164" xfId="0" applyAlignment="1" applyBorder="1" applyFont="1" applyNumberFormat="1">
      <alignment horizontal="center" shrinkToFit="0" vertical="top" wrapText="0"/>
    </xf>
    <xf borderId="11" fillId="0" fontId="0" numFmtId="0" xfId="0" applyAlignment="1" applyBorder="1" applyFont="1">
      <alignment horizontal="left" shrinkToFit="0" vertical="top" wrapText="0"/>
    </xf>
    <xf borderId="9" fillId="0" fontId="0" numFmtId="169" xfId="0" applyAlignment="1" applyBorder="1" applyFont="1" applyNumberFormat="1">
      <alignment horizontal="center" shrinkToFit="0" wrapText="0"/>
    </xf>
    <xf borderId="11" fillId="0" fontId="0" numFmtId="9" xfId="0" applyAlignment="1" applyBorder="1" applyFont="1" applyNumberFormat="1">
      <alignment horizontal="center" shrinkToFit="0" wrapText="0"/>
    </xf>
    <xf borderId="1" fillId="0" fontId="0" numFmtId="10" xfId="0" applyAlignment="1" applyBorder="1" applyFont="1" applyNumberFormat="1">
      <alignment horizontal="center" shrinkToFit="0" wrapText="0"/>
    </xf>
    <xf borderId="3" fillId="0" fontId="0" numFmtId="0" xfId="0" applyAlignment="1" applyBorder="1" applyFont="1">
      <alignment shrinkToFit="0" vertical="top" wrapText="0"/>
    </xf>
    <xf borderId="7" fillId="0" fontId="0" numFmtId="169" xfId="0" applyAlignment="1" applyBorder="1" applyFont="1" applyNumberFormat="1">
      <alignment shrinkToFit="0" wrapText="0"/>
    </xf>
    <xf borderId="0" fillId="0" fontId="0" numFmtId="169" xfId="0" applyAlignment="1" applyFont="1" applyNumberFormat="1">
      <alignment horizontal="center" shrinkToFit="0" wrapText="0"/>
    </xf>
    <xf borderId="14" fillId="0" fontId="4" numFmtId="0" xfId="0" applyAlignment="1" applyBorder="1" applyFont="1">
      <alignment shrinkToFit="0" vertical="top" wrapText="0"/>
    </xf>
    <xf borderId="7" fillId="0" fontId="0" numFmtId="164" xfId="0" applyAlignment="1" applyBorder="1" applyFont="1" applyNumberFormat="1">
      <alignment horizontal="center" shrinkToFit="0" wrapText="0"/>
    </xf>
    <xf borderId="3" fillId="0" fontId="0" numFmtId="0" xfId="0" applyAlignment="1" applyBorder="1" applyFont="1">
      <alignment horizontal="left" shrinkToFit="0" vertical="top" wrapText="1"/>
    </xf>
    <xf borderId="7" fillId="0" fontId="7" numFmtId="169" xfId="0" applyAlignment="1" applyBorder="1" applyFont="1" applyNumberFormat="1">
      <alignment shrinkToFit="0" wrapText="0"/>
    </xf>
    <xf borderId="3" fillId="0" fontId="0" numFmtId="10" xfId="0" applyAlignment="1" applyBorder="1" applyFont="1" applyNumberFormat="1">
      <alignment horizontal="center" shrinkToFit="0" wrapText="0"/>
    </xf>
    <xf borderId="0" fillId="0" fontId="7" numFmtId="0" xfId="0" applyAlignment="1" applyFont="1">
      <alignment horizontal="left" shrinkToFit="0" vertical="top" wrapText="0"/>
    </xf>
    <xf borderId="1" fillId="0" fontId="0" numFmtId="0" xfId="0" applyAlignment="1" applyBorder="1" applyFont="1">
      <alignment horizontal="left" shrinkToFit="0" vertical="top" wrapText="0"/>
    </xf>
    <xf borderId="9" fillId="0" fontId="0" numFmtId="169" xfId="0" applyAlignment="1" applyBorder="1" applyFont="1" applyNumberFormat="1">
      <alignment shrinkToFit="0" wrapText="0"/>
    </xf>
    <xf borderId="11" fillId="0" fontId="0" numFmtId="10" xfId="0" applyAlignment="1" applyBorder="1" applyFont="1" applyNumberFormat="1">
      <alignment horizontal="center" shrinkToFit="0" wrapText="0"/>
    </xf>
    <xf borderId="0" fillId="0" fontId="0" numFmtId="0" xfId="0" applyAlignment="1" applyFont="1">
      <alignment horizontal="left" shrinkToFit="0" vertical="top" wrapText="0"/>
    </xf>
    <xf borderId="15" fillId="3" fontId="7" numFmtId="169" xfId="0" applyAlignment="1" applyBorder="1" applyFont="1" applyNumberFormat="1">
      <alignment shrinkToFit="0" wrapText="0"/>
    </xf>
    <xf borderId="15" fillId="4" fontId="7" numFmtId="169" xfId="0" applyAlignment="1" applyBorder="1" applyFill="1" applyFont="1" applyNumberFormat="1">
      <alignment shrinkToFit="0" wrapText="0"/>
    </xf>
    <xf borderId="4" fillId="4" fontId="0" numFmtId="168" xfId="0" applyAlignment="1" applyBorder="1" applyFont="1" applyNumberFormat="1">
      <alignment horizontal="center" shrinkToFit="0" wrapText="0"/>
    </xf>
    <xf borderId="3" fillId="0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vertical="top" wrapText="1"/>
    </xf>
    <xf borderId="15" fillId="3" fontId="0" numFmtId="169" xfId="0" applyAlignment="1" applyBorder="1" applyFont="1" applyNumberFormat="1">
      <alignment shrinkToFit="0" wrapText="0"/>
    </xf>
    <xf borderId="2" fillId="3" fontId="7" numFmtId="10" xfId="0" applyAlignment="1" applyBorder="1" applyFont="1" applyNumberFormat="1">
      <alignment horizontal="center" shrinkToFit="0" wrapText="0"/>
    </xf>
    <xf borderId="0" fillId="0" fontId="11" numFmtId="0" xfId="0" applyAlignment="1" applyFont="1">
      <alignment horizontal="right" shrinkToFit="0" wrapText="0"/>
    </xf>
    <xf borderId="3" fillId="0" fontId="11" numFmtId="9" xfId="0" applyAlignment="1" applyBorder="1" applyFont="1" applyNumberFormat="1">
      <alignment horizontal="center" shrinkToFit="0" wrapText="0"/>
    </xf>
    <xf borderId="7" fillId="0" fontId="10" numFmtId="164" xfId="0" applyAlignment="1" applyBorder="1" applyFont="1" applyNumberFormat="1">
      <alignment horizontal="center" shrinkToFit="0" vertical="top" wrapText="0"/>
    </xf>
    <xf borderId="3" fillId="0" fontId="10" numFmtId="0" xfId="0" applyAlignment="1" applyBorder="1" applyFont="1">
      <alignment shrinkToFit="0" vertical="top" wrapText="0"/>
    </xf>
    <xf borderId="15" fillId="3" fontId="10" numFmtId="169" xfId="0" applyAlignment="1" applyBorder="1" applyFont="1" applyNumberFormat="1">
      <alignment shrinkToFit="0" wrapText="0"/>
    </xf>
    <xf borderId="0" fillId="0" fontId="10" numFmtId="0" xfId="0" applyAlignment="1" applyFont="1">
      <alignment horizontal="center" shrinkToFit="0" wrapText="0"/>
    </xf>
    <xf borderId="3" fillId="0" fontId="10" numFmtId="9" xfId="0" applyAlignment="1" applyBorder="1" applyFont="1" applyNumberFormat="1">
      <alignment horizontal="center" shrinkToFit="0" wrapText="0"/>
    </xf>
    <xf borderId="7" fillId="0" fontId="10" numFmtId="169" xfId="0" applyAlignment="1" applyBorder="1" applyFont="1" applyNumberFormat="1">
      <alignment shrinkToFit="0" wrapText="0"/>
    </xf>
    <xf borderId="2" fillId="3" fontId="15" numFmtId="10" xfId="0" applyAlignment="1" applyBorder="1" applyFont="1" applyNumberFormat="1">
      <alignment horizontal="center" shrinkToFit="0" wrapText="0"/>
    </xf>
    <xf borderId="2" fillId="2" fontId="15" numFmtId="10" xfId="0" applyAlignment="1" applyBorder="1" applyFont="1" applyNumberFormat="1">
      <alignment horizontal="center" shrinkToFit="0" wrapText="0"/>
    </xf>
    <xf borderId="11" fillId="0" fontId="0" numFmtId="0" xfId="0" applyAlignment="1" applyBorder="1" applyFont="1">
      <alignment shrinkToFit="0" vertical="top" wrapText="0"/>
    </xf>
    <xf borderId="1" fillId="0" fontId="11" numFmtId="0" xfId="0" applyAlignment="1" applyBorder="1" applyFont="1">
      <alignment horizontal="right" shrinkToFit="0" wrapText="0"/>
    </xf>
    <xf borderId="9" fillId="0" fontId="0" numFmtId="0" xfId="0" applyAlignment="1" applyBorder="1" applyFont="1">
      <alignment shrinkToFit="0" wrapText="0"/>
    </xf>
    <xf borderId="7" fillId="0" fontId="0" numFmtId="172" xfId="0" applyAlignment="1" applyBorder="1" applyFont="1" applyNumberFormat="1">
      <alignment shrinkToFit="0" wrapText="0"/>
    </xf>
    <xf borderId="7" fillId="0" fontId="0" numFmtId="173" xfId="0" applyAlignment="1" applyBorder="1" applyFont="1" applyNumberFormat="1">
      <alignment shrinkToFit="0" wrapText="0"/>
    </xf>
    <xf borderId="9" fillId="0" fontId="0" numFmtId="172" xfId="0" applyAlignment="1" applyBorder="1" applyFont="1" applyNumberFormat="1">
      <alignment shrinkToFit="0" wrapText="0"/>
    </xf>
    <xf borderId="0" fillId="0" fontId="16" numFmtId="172" xfId="0" applyAlignment="1" applyFont="1" applyNumberFormat="1">
      <alignment shrinkToFit="0" wrapText="0"/>
    </xf>
    <xf borderId="0" fillId="0" fontId="16" numFmtId="0" xfId="0" applyAlignment="1" applyFont="1">
      <alignment shrinkToFit="0" wrapText="0"/>
    </xf>
    <xf borderId="16" fillId="0" fontId="0" numFmtId="164" xfId="0" applyAlignment="1" applyBorder="1" applyFont="1" applyNumberFormat="1">
      <alignment horizontal="center" shrinkToFit="0" vertical="top" wrapText="0"/>
    </xf>
    <xf borderId="17" fillId="0" fontId="4" numFmtId="0" xfId="0" applyAlignment="1" applyBorder="1" applyFont="1">
      <alignment shrinkToFit="0" vertical="top" wrapText="0"/>
    </xf>
    <xf borderId="18" fillId="0" fontId="0" numFmtId="172" xfId="0" applyAlignment="1" applyBorder="1" applyFont="1" applyNumberFormat="1">
      <alignment shrinkToFit="0" wrapText="0"/>
    </xf>
    <xf borderId="19" fillId="0" fontId="0" numFmtId="0" xfId="0" applyAlignment="1" applyBorder="1" applyFont="1">
      <alignment horizontal="center" shrinkToFit="0" wrapText="0"/>
    </xf>
    <xf borderId="17" fillId="0" fontId="0" numFmtId="174" xfId="0" applyAlignment="1" applyBorder="1" applyFont="1" applyNumberFormat="1">
      <alignment horizontal="center" shrinkToFit="0" wrapText="0"/>
    </xf>
    <xf borderId="19" fillId="0" fontId="0" numFmtId="175" xfId="0" applyAlignment="1" applyBorder="1" applyFont="1" applyNumberFormat="1">
      <alignment horizontal="center" shrinkToFit="0" wrapText="0"/>
    </xf>
    <xf borderId="0" fillId="0" fontId="16" numFmtId="176" xfId="0" applyAlignment="1" applyFont="1" applyNumberFormat="1">
      <alignment shrinkToFit="0" wrapText="0"/>
    </xf>
    <xf borderId="0" fillId="0" fontId="17" numFmtId="0" xfId="0" applyAlignment="1" applyFont="1">
      <alignment shrinkToFit="0" wrapText="0"/>
    </xf>
    <xf borderId="0" fillId="0" fontId="2" numFmtId="0" xfId="0" applyAlignment="1" applyFont="1">
      <alignment horizontal="left" shrinkToFit="0" wrapText="0"/>
    </xf>
    <xf borderId="0" fillId="0" fontId="3" numFmtId="164" xfId="0" applyAlignment="1" applyFont="1" applyNumberFormat="1">
      <alignment horizontal="left" shrinkToFit="0" wrapText="0"/>
    </xf>
    <xf borderId="0" fillId="0" fontId="0" numFmtId="168" xfId="0" applyAlignment="1" applyFont="1" applyNumberFormat="1">
      <alignment horizontal="right" shrinkToFit="0" wrapText="0"/>
    </xf>
    <xf borderId="0" fillId="0" fontId="0" numFmtId="3" xfId="0" applyAlignment="1" applyFont="1" applyNumberFormat="1">
      <alignment horizontal="center" shrinkToFit="0" wrapText="0"/>
    </xf>
    <xf borderId="0" fillId="0" fontId="18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4" numFmtId="166" xfId="0" applyAlignment="1" applyFont="1" applyNumberFormat="1">
      <alignment shrinkToFit="0" wrapText="0"/>
    </xf>
    <xf borderId="4" fillId="4" fontId="19" numFmtId="166" xfId="0" applyAlignment="1" applyBorder="1" applyFont="1" applyNumberFormat="1">
      <alignment shrinkToFit="0" wrapText="0"/>
    </xf>
    <xf borderId="0" fillId="0" fontId="20" numFmtId="10" xfId="0" applyAlignment="1" applyFont="1" applyNumberFormat="1">
      <alignment horizontal="center" shrinkToFit="0" wrapText="0"/>
    </xf>
    <xf borderId="1" fillId="0" fontId="4" numFmtId="166" xfId="0" applyAlignment="1" applyBorder="1" applyFont="1" applyNumberFormat="1">
      <alignment shrinkToFit="0" wrapText="0"/>
    </xf>
    <xf borderId="5" fillId="5" fontId="21" numFmtId="166" xfId="0" applyAlignment="1" applyBorder="1" applyFill="1" applyFont="1" applyNumberFormat="1">
      <alignment shrinkToFit="0" wrapText="0"/>
    </xf>
    <xf borderId="5" fillId="4" fontId="19" numFmtId="166" xfId="0" applyAlignment="1" applyBorder="1" applyFont="1" applyNumberFormat="1">
      <alignment shrinkToFit="0" wrapText="0"/>
    </xf>
    <xf borderId="0" fillId="0" fontId="0" numFmtId="166" xfId="0" applyAlignment="1" applyFont="1" applyNumberFormat="1">
      <alignment shrinkToFit="0" wrapText="0"/>
    </xf>
    <xf borderId="2" fillId="6" fontId="7" numFmtId="166" xfId="0" applyAlignment="1" applyBorder="1" applyFill="1" applyFont="1" applyNumberFormat="1">
      <alignment shrinkToFit="0" wrapText="0"/>
    </xf>
    <xf borderId="4" fillId="6" fontId="7" numFmtId="166" xfId="0" applyAlignment="1" applyBorder="1" applyFont="1" applyNumberFormat="1">
      <alignment shrinkToFit="0" wrapText="0"/>
    </xf>
    <xf borderId="2" fillId="2" fontId="7" numFmtId="177" xfId="0" applyAlignment="1" applyBorder="1" applyFont="1" applyNumberFormat="1">
      <alignment horizontal="center" shrinkToFit="0" wrapText="0"/>
    </xf>
    <xf borderId="1" fillId="0" fontId="0" numFmtId="166" xfId="0" applyAlignment="1" applyBorder="1" applyFont="1" applyNumberFormat="1">
      <alignment shrinkToFit="0" wrapText="0"/>
    </xf>
    <xf borderId="6" fillId="0" fontId="2" numFmtId="0" xfId="0" applyAlignment="1" applyBorder="1" applyFont="1">
      <alignment shrinkToFit="0" wrapText="0"/>
    </xf>
    <xf borderId="6" fillId="0" fontId="22" numFmtId="0" xfId="0" applyAlignment="1" applyBorder="1" applyFont="1">
      <alignment shrinkToFit="0" wrapText="0"/>
    </xf>
    <xf borderId="6" fillId="0" fontId="22" numFmtId="166" xfId="0" applyAlignment="1" applyBorder="1" applyFont="1" applyNumberFormat="1">
      <alignment shrinkToFit="0" wrapText="0"/>
    </xf>
    <xf borderId="0" fillId="0" fontId="0" numFmtId="10" xfId="0" applyAlignment="1" applyFont="1" applyNumberFormat="1">
      <alignment shrinkToFit="0" wrapText="0"/>
    </xf>
    <xf borderId="4" fillId="4" fontId="0" numFmtId="166" xfId="0" applyAlignment="1" applyBorder="1" applyFont="1" applyNumberFormat="1">
      <alignment shrinkToFit="0" wrapText="0"/>
    </xf>
    <xf borderId="5" fillId="4" fontId="0" numFmtId="166" xfId="0" applyAlignment="1" applyBorder="1" applyFont="1" applyNumberFormat="1">
      <alignment shrinkToFit="0" wrapText="0"/>
    </xf>
    <xf borderId="4" fillId="3" fontId="4" numFmtId="166" xfId="0" applyAlignment="1" applyBorder="1" applyFont="1" applyNumberFormat="1">
      <alignment shrinkToFit="0" wrapText="0"/>
    </xf>
    <xf borderId="4" fillId="3" fontId="0" numFmtId="166" xfId="0" applyAlignment="1" applyBorder="1" applyFont="1" applyNumberFormat="1">
      <alignment shrinkToFit="0" wrapText="0"/>
    </xf>
    <xf borderId="20" fillId="0" fontId="12" numFmtId="166" xfId="0" applyAlignment="1" applyBorder="1" applyFont="1" applyNumberFormat="1">
      <alignment shrinkToFit="0" wrapText="0"/>
    </xf>
    <xf borderId="0" fillId="0" fontId="12" numFmtId="166" xfId="0" applyAlignment="1" applyFont="1" applyNumberFormat="1">
      <alignment shrinkToFit="0" wrapText="0"/>
    </xf>
    <xf borderId="20" fillId="3" fontId="12" numFmtId="166" xfId="0" applyAlignment="1" applyBorder="1" applyFont="1" applyNumberFormat="1">
      <alignment shrinkToFit="0" wrapText="0"/>
    </xf>
    <xf borderId="4" fillId="3" fontId="12" numFmtId="166" xfId="0" applyAlignment="1" applyBorder="1" applyFont="1" applyNumberFormat="1">
      <alignment shrinkToFit="0" wrapText="0"/>
    </xf>
    <xf borderId="21" fillId="3" fontId="22" numFmtId="166" xfId="0" applyAlignment="1" applyBorder="1" applyFont="1" applyNumberFormat="1">
      <alignment shrinkToFit="0" wrapText="0"/>
    </xf>
    <xf borderId="1" fillId="0" fontId="2" numFmtId="0" xfId="0" applyAlignment="1" applyBorder="1" applyFont="1">
      <alignment shrinkToFit="0" wrapText="0"/>
    </xf>
    <xf borderId="0" fillId="0" fontId="7" numFmtId="3" xfId="0" applyAlignment="1" applyFont="1" applyNumberFormat="1">
      <alignment horizontal="center" shrinkToFit="0" wrapText="0"/>
    </xf>
    <xf borderId="0" fillId="0" fontId="0" numFmtId="3" xfId="0" applyAlignment="1" applyFont="1" applyNumberFormat="1">
      <alignment shrinkToFit="0" wrapText="0"/>
    </xf>
    <xf borderId="0" fillId="0" fontId="0" numFmtId="178" xfId="0" applyAlignment="1" applyFont="1" applyNumberFormat="1">
      <alignment horizontal="right" shrinkToFit="0" wrapText="0"/>
    </xf>
    <xf borderId="4" fillId="4" fontId="0" numFmtId="178" xfId="0" applyAlignment="1" applyBorder="1" applyFont="1" applyNumberFormat="1">
      <alignment horizontal="right" shrinkToFit="0" wrapText="0"/>
    </xf>
    <xf borderId="0" fillId="0" fontId="0" numFmtId="178" xfId="0" applyAlignment="1" applyFont="1" applyNumberFormat="1">
      <alignment shrinkToFit="0" wrapText="0"/>
    </xf>
    <xf borderId="1" fillId="0" fontId="0" numFmtId="178" xfId="0" applyAlignment="1" applyBorder="1" applyFont="1" applyNumberFormat="1">
      <alignment horizontal="right" shrinkToFit="0" wrapText="0"/>
    </xf>
    <xf borderId="6" fillId="0" fontId="22" numFmtId="178" xfId="0" applyAlignment="1" applyBorder="1" applyFont="1" applyNumberFormat="1">
      <alignment horizontal="right" shrinkToFit="0" wrapText="0"/>
    </xf>
    <xf borderId="6" fillId="0" fontId="22" numFmtId="178" xfId="0" applyAlignment="1" applyBorder="1" applyFont="1" applyNumberFormat="1">
      <alignment shrinkToFit="0" wrapText="0"/>
    </xf>
    <xf borderId="1" fillId="0" fontId="0" numFmtId="178" xfId="0" applyAlignment="1" applyBorder="1" applyFont="1" applyNumberFormat="1">
      <alignment shrinkToFit="0" wrapText="0"/>
    </xf>
    <xf borderId="19" fillId="0" fontId="2" numFmtId="0" xfId="0" applyAlignment="1" applyBorder="1" applyFont="1">
      <alignment shrinkToFit="0" wrapText="0"/>
    </xf>
    <xf borderId="19" fillId="0" fontId="2" numFmtId="178" xfId="0" applyAlignment="1" applyBorder="1" applyFont="1" applyNumberFormat="1">
      <alignment shrinkToFit="0" wrapText="0"/>
    </xf>
    <xf borderId="0" fillId="0" fontId="11" numFmtId="37" xfId="0" applyAlignment="1" applyFont="1" applyNumberFormat="1">
      <alignment shrinkToFit="0" wrapText="0"/>
    </xf>
    <xf borderId="4" fillId="3" fontId="0" numFmtId="168" xfId="0" applyAlignment="1" applyBorder="1" applyFont="1" applyNumberFormat="1">
      <alignment shrinkToFit="0" wrapText="0"/>
    </xf>
  </cellXfs>
  <cellStyles count="1">
    <cellStyle xfId="0" name="Normal" builtinId="0"/>
  </cellStyles>
  <dxfs count="1">
    <dxf>
      <font>
        <b/>
        <color rgb="FFFF0000"/>
      </font>
      <fill>
        <patternFill patternType="solid">
          <fgColor rgb="FFF2DBDB"/>
          <bgColor rgb="FFF2DBDB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008329273489152"/>
          <c:y val="0.10796596497144802"/>
          <c:w val="0.896936531796561"/>
          <c:h val="0.643144761288421"/>
        </c:manualLayout>
      </c:layout>
      <c:lineChart>
        <c:ser>
          <c:idx val="0"/>
          <c:order val="0"/>
          <c:tx>
            <c:strRef>
              <c:f>'Chart - Surplus (Deficit)'!$B$9</c:f>
            </c:strRef>
          </c:tx>
          <c:spPr>
            <a:ln cmpd="sng" w="38100">
              <a:solidFill>
                <a:srgbClr val="0070C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'Chart - Surplus (Deficit)'!$C$8:$AF$8</c:f>
            </c:strRef>
          </c:cat>
          <c:val>
            <c:numRef>
              <c:f>'Chart - Surplus (Deficit)'!$C$9:$AF$9</c:f>
              <c:numCache/>
            </c:numRef>
          </c:val>
          <c:smooth val="0"/>
        </c:ser>
        <c:ser>
          <c:idx val="1"/>
          <c:order val="1"/>
          <c:tx>
            <c:strRef>
              <c:f>'Chart - Surplus (Deficit)'!$B$10</c:f>
            </c:strRef>
          </c:tx>
          <c:spPr>
            <a:ln cmpd="sng" w="38100">
              <a:solidFill>
                <a:srgbClr val="FFC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'Chart - Surplus (Deficit)'!$C$8:$AF$8</c:f>
            </c:strRef>
          </c:cat>
          <c:val>
            <c:numRef>
              <c:f>'Chart - Surplus (Deficit)'!$C$10:$AF$10</c:f>
              <c:numCache/>
            </c:numRef>
          </c:val>
          <c:smooth val="0"/>
        </c:ser>
        <c:ser>
          <c:idx val="2"/>
          <c:order val="2"/>
          <c:tx>
            <c:strRef>
              <c:f>'Chart - Surplus (Deficit)'!$B$11</c:f>
            </c:strRef>
          </c:tx>
          <c:spPr>
            <a:ln cmpd="sng" w="47625">
              <a:solidFill>
                <a:srgbClr val="272F1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'Chart - Surplus (Deficit)'!$C$8:$AF$8</c:f>
            </c:strRef>
          </c:cat>
          <c:val>
            <c:numRef>
              <c:f>'Chart - Surplus (Deficit)'!$C$11:$AF$11</c:f>
              <c:numCache/>
            </c:numRef>
          </c:val>
          <c:smooth val="0"/>
        </c:ser>
        <c:axId val="770774481"/>
        <c:axId val="1097174234"/>
      </c:lineChart>
      <c:catAx>
        <c:axId val="770774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Roboto"/>
              </a:defRPr>
            </a:pPr>
          </a:p>
        </c:txPr>
        <c:crossAx val="1097174234"/>
      </c:catAx>
      <c:valAx>
        <c:axId val="1097174234"/>
        <c:scaling>
          <c:orientation val="minMax"/>
        </c:scaling>
        <c:delete val="0"/>
        <c:axPos val="l"/>
        <c:majorGridlines>
          <c:spPr>
            <a:ln>
              <a:solidFill>
                <a:srgbClr val="26262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</a:p>
        </c:txPr>
        <c:crossAx val="770774481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1" i="0" sz="180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178558345442872"/>
          <c:y val="0.10796596497144802"/>
          <c:w val="0.895234253658207"/>
          <c:h val="0.643144761288421"/>
        </c:manualLayout>
      </c:layout>
      <c:barChart>
        <c:barDir val="col"/>
        <c:grouping val="stacked"/>
        <c:ser>
          <c:idx val="0"/>
          <c:order val="0"/>
          <c:tx>
            <c:strRef>
              <c:f>'Chart - Fee Breakdown'!$B$9</c:f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'Chart - Fee Breakdown'!$C$8:$AF$8</c:f>
            </c:strRef>
          </c:cat>
          <c:val>
            <c:numRef>
              <c:f>'Chart - Fee Breakdown'!$C$9:$AF$9</c:f>
              <c:numCache/>
            </c:numRef>
          </c:val>
        </c:ser>
        <c:ser>
          <c:idx val="1"/>
          <c:order val="1"/>
          <c:tx>
            <c:strRef>
              <c:f>'Chart - Fee Breakdown'!$B$11</c:f>
            </c:strRef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cat>
            <c:strRef>
              <c:f>'Chart - Fee Breakdown'!$C$8:$AF$8</c:f>
            </c:strRef>
          </c:cat>
          <c:val>
            <c:numRef>
              <c:f>'Chart - Fee Breakdown'!$C$11:$AF$11</c:f>
              <c:numCache/>
            </c:numRef>
          </c:val>
        </c:ser>
        <c:ser>
          <c:idx val="2"/>
          <c:order val="2"/>
          <c:tx>
            <c:strRef>
              <c:f>'Chart - Fee Breakdown'!$B$10</c:f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'Chart - Fee Breakdown'!$C$8:$AF$8</c:f>
            </c:strRef>
          </c:cat>
          <c:val>
            <c:numRef>
              <c:f>'Chart - Fee Breakdown'!$C$10:$AF$10</c:f>
              <c:numCache/>
            </c:numRef>
          </c:val>
        </c:ser>
        <c:ser>
          <c:idx val="3"/>
          <c:order val="3"/>
          <c:tx>
            <c:strRef>
              <c:f>'Chart - Fee Breakdown'!$B$12</c:f>
            </c:strRef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'Chart - Fee Breakdown'!$C$8:$AF$8</c:f>
            </c:strRef>
          </c:cat>
          <c:val>
            <c:numRef>
              <c:f>'Chart - Fee Breakdown'!$C$12:$AF$12</c:f>
              <c:numCache/>
            </c:numRef>
          </c:val>
        </c:ser>
        <c:ser>
          <c:idx val="4"/>
          <c:order val="4"/>
          <c:tx>
            <c:strRef>
              <c:f>'Chart - Fee Breakdown'!$B$13</c:f>
            </c:strRef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cat>
            <c:strRef>
              <c:f>'Chart - Fee Breakdown'!$C$8:$AF$8</c:f>
            </c:strRef>
          </c:cat>
          <c:val>
            <c:numRef>
              <c:f>'Chart - Fee Breakdown'!$C$13:$AF$13</c:f>
              <c:numCache/>
            </c:numRef>
          </c:val>
        </c:ser>
        <c:overlap val="100"/>
        <c:axId val="838552643"/>
        <c:axId val="1268003584"/>
      </c:barChart>
      <c:lineChart>
        <c:varyColors val="0"/>
        <c:ser>
          <c:idx val="5"/>
          <c:order val="5"/>
          <c:tx>
            <c:strRef>
              <c:f>'Chart - Fee Breakdown'!$B$14</c:f>
            </c:strRef>
          </c:tx>
          <c:spPr>
            <a:ln cmpd="sng">
              <a:solidFill>
                <a:srgbClr val="F796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'Chart - Fee Breakdown'!$C$8:$AF$8</c:f>
            </c:strRef>
          </c:cat>
          <c:val>
            <c:numRef>
              <c:f>'Chart - Fee Breakdown'!$C$14:$AF$14</c:f>
              <c:numCache/>
            </c:numRef>
          </c:val>
          <c:smooth val="0"/>
        </c:ser>
        <c:axId val="838552643"/>
        <c:axId val="1268003584"/>
      </c:lineChart>
      <c:catAx>
        <c:axId val="838552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Roboto"/>
              </a:defRPr>
            </a:pPr>
          </a:p>
        </c:txPr>
        <c:crossAx val="1268003584"/>
      </c:catAx>
      <c:valAx>
        <c:axId val="1268003584"/>
        <c:scaling>
          <c:orientation val="minMax"/>
          <c:max val="1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Roboto"/>
              </a:defRPr>
            </a:pPr>
          </a:p>
        </c:txPr>
        <c:crossAx val="838552643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1" i="0" sz="180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47625</xdr:rowOff>
    </xdr:from>
    <xdr:ext cx="18192750" cy="668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504825</xdr:colOff>
      <xdr:row>12</xdr:row>
      <xdr:rowOff>85725</xdr:rowOff>
    </xdr:from>
    <xdr:ext cx="676275" cy="295275"/>
    <xdr:sp>
      <xdr:nvSpPr>
        <xdr:cNvPr id="3" name="Shape 3"/>
        <xdr:cNvSpPr txBox="1"/>
      </xdr:nvSpPr>
      <xdr:spPr>
        <a:xfrm>
          <a:off x="5012625" y="3637125"/>
          <a:ext cx="6667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i="0" sz="1600" u="none" cap="none" strike="noStrike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15</xdr:row>
      <xdr:rowOff>47625</xdr:rowOff>
    </xdr:from>
    <xdr:ext cx="18411825" cy="6686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504825</xdr:colOff>
      <xdr:row>15</xdr:row>
      <xdr:rowOff>85725</xdr:rowOff>
    </xdr:from>
    <xdr:ext cx="1781175" cy="295275"/>
    <xdr:sp>
      <xdr:nvSpPr>
        <xdr:cNvPr id="3" name="Shape 3"/>
        <xdr:cNvSpPr txBox="1"/>
      </xdr:nvSpPr>
      <xdr:spPr>
        <a:xfrm>
          <a:off x="4460175" y="3637125"/>
          <a:ext cx="17716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i="0" sz="1600" u="none" cap="none" strike="noStrike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7.29" defaultRowHeight="15.0"/>
  <cols>
    <col customWidth="1" hidden="1" min="1" max="1" width="9.14"/>
    <col customWidth="1" min="2" max="2" width="2.71"/>
    <col customWidth="1" min="3" max="3" width="8.43"/>
    <col customWidth="1" min="4" max="4" width="1.71"/>
    <col customWidth="1" min="5" max="9" width="10.71"/>
    <col customWidth="1" min="10" max="10" width="1.71"/>
    <col customWidth="1" min="11" max="15" width="10.71"/>
  </cols>
  <sheetData>
    <row r="1" ht="13.5" customHeight="1">
      <c r="A1" s="1"/>
      <c r="B1" s="1"/>
      <c r="C1" s="1"/>
      <c r="D1" s="2"/>
      <c r="E1" s="1"/>
      <c r="F1" s="1"/>
      <c r="G1" s="1"/>
      <c r="H1" s="1"/>
      <c r="I1" s="1"/>
      <c r="J1" s="2"/>
      <c r="K1" s="1"/>
      <c r="L1" s="1"/>
      <c r="M1" s="1"/>
      <c r="N1" s="1"/>
      <c r="O1" s="1"/>
    </row>
    <row r="2" ht="22.5" customHeight="1">
      <c r="A2" s="1"/>
      <c r="B2" s="1"/>
      <c r="C2" s="3" t="s">
        <v>0</v>
      </c>
      <c r="D2" s="3"/>
      <c r="E2" s="2"/>
      <c r="F2" s="2"/>
      <c r="G2" s="2"/>
      <c r="H2" s="2"/>
      <c r="I2" s="2"/>
      <c r="J2" s="2"/>
      <c r="K2" s="1"/>
      <c r="L2" s="1"/>
      <c r="M2" s="1"/>
      <c r="N2" s="1"/>
      <c r="O2" s="1"/>
    </row>
    <row r="3" ht="18.0" customHeight="1">
      <c r="A3" s="1"/>
      <c r="B3" s="1"/>
      <c r="C3" s="4" t="s">
        <v>1</v>
      </c>
      <c r="D3" s="4"/>
      <c r="E3" s="2"/>
      <c r="F3" s="2"/>
      <c r="G3" s="2"/>
      <c r="H3" s="2"/>
      <c r="I3" s="2"/>
      <c r="J3" s="2"/>
      <c r="K3" s="1"/>
      <c r="L3" s="1"/>
      <c r="M3" s="1"/>
      <c r="N3" s="1"/>
      <c r="O3" s="1"/>
    </row>
    <row r="4">
      <c r="A4" s="1"/>
      <c r="B4" s="1"/>
      <c r="C4" s="5" t="s">
        <v>2</v>
      </c>
      <c r="D4" s="4"/>
      <c r="E4" s="2"/>
      <c r="F4" s="2"/>
      <c r="G4" s="2"/>
      <c r="H4" s="2"/>
      <c r="I4" s="2"/>
      <c r="J4" s="2"/>
      <c r="K4" s="1"/>
      <c r="L4" s="1"/>
      <c r="M4" s="1"/>
      <c r="N4" s="1"/>
      <c r="O4" s="1"/>
    </row>
    <row r="5" ht="18.0" customHeight="1">
      <c r="A5" s="1"/>
      <c r="B5" s="1"/>
      <c r="C5" s="6" t="str">
        <f>'Model Summary'!B5</f>
        <v>REVISED DRAFT 2/26/15</v>
      </c>
      <c r="D5" s="2"/>
      <c r="E5" s="2"/>
      <c r="F5" s="2"/>
      <c r="G5" s="2"/>
      <c r="H5" s="2"/>
      <c r="I5" s="2"/>
      <c r="J5" s="2"/>
      <c r="K5" s="1"/>
      <c r="L5" s="1"/>
      <c r="M5" s="1"/>
      <c r="N5" s="1"/>
      <c r="O5" s="1"/>
    </row>
    <row r="6" ht="19.5" customHeight="1">
      <c r="A6" s="1"/>
      <c r="B6" s="1"/>
      <c r="C6" s="7"/>
      <c r="D6" s="7"/>
      <c r="E6" s="8" t="s">
        <v>3</v>
      </c>
      <c r="F6" s="9"/>
      <c r="G6" s="9"/>
      <c r="H6" s="9"/>
      <c r="I6" s="9"/>
      <c r="J6" s="10"/>
      <c r="K6" s="8" t="s">
        <v>4</v>
      </c>
      <c r="L6" s="9"/>
      <c r="M6" s="9"/>
      <c r="N6" s="9"/>
      <c r="O6" s="9"/>
    </row>
    <row r="7" ht="42.0" customHeight="1">
      <c r="A7" s="1"/>
      <c r="B7" s="1"/>
      <c r="C7" s="8" t="s">
        <v>5</v>
      </c>
      <c r="D7" s="11"/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13"/>
      <c r="K7" s="12" t="s">
        <v>6</v>
      </c>
      <c r="L7" s="12" t="s">
        <v>7</v>
      </c>
      <c r="M7" s="12" t="s">
        <v>8</v>
      </c>
      <c r="N7" s="12" t="s">
        <v>9</v>
      </c>
      <c r="O7" s="12" t="s">
        <v>10</v>
      </c>
    </row>
    <row r="8" ht="13.5" customHeight="1">
      <c r="A8" s="1">
        <v>0.0</v>
      </c>
      <c r="B8" s="1"/>
      <c r="C8" s="1" t="s">
        <v>11</v>
      </c>
      <c r="D8" s="2"/>
      <c r="E8" s="14">
        <v>83.5</v>
      </c>
      <c r="F8" s="14">
        <f>'Fee Revenue'!E15</f>
        <v>8.5</v>
      </c>
      <c r="G8" s="15">
        <v>54.0</v>
      </c>
      <c r="H8" s="16">
        <f>'Fee Revenue'!E20</f>
        <v>146</v>
      </c>
      <c r="I8" s="14">
        <f t="shared" ref="I8:I37" si="1">PV($G$39,$A8,0,-H8)</f>
        <v>146</v>
      </c>
      <c r="J8" s="2"/>
      <c r="K8" s="14">
        <f>'Fee Revenue'!E27</f>
        <v>60.5</v>
      </c>
      <c r="L8" s="14">
        <f>'Fee Revenue'!E29</f>
        <v>8.5</v>
      </c>
      <c r="M8" s="14">
        <f>'Fee Revenue'!E31</f>
        <v>41</v>
      </c>
      <c r="N8" s="14">
        <f>'Fee Revenue'!E33</f>
        <v>110</v>
      </c>
      <c r="O8" s="14">
        <f>PV($G$39,$A8,0,-N8)</f>
        <v>110</v>
      </c>
    </row>
    <row r="9" ht="13.5" customHeight="1">
      <c r="A9" s="1">
        <v>1.0</v>
      </c>
      <c r="B9" s="1"/>
      <c r="C9" s="1" t="s">
        <v>12</v>
      </c>
      <c r="D9" s="2"/>
      <c r="E9" s="14">
        <f>'Fee Revenue'!H12</f>
        <v>86.25</v>
      </c>
      <c r="F9" s="14">
        <f>'Fee Revenue'!H15</f>
        <v>8.75</v>
      </c>
      <c r="G9" s="14">
        <f>'Fee Revenue'!H18</f>
        <v>57</v>
      </c>
      <c r="H9" s="14">
        <f>'Fee Revenue'!H20</f>
        <v>152</v>
      </c>
      <c r="I9" s="14">
        <f t="shared" si="1"/>
        <v>147.5728155</v>
      </c>
      <c r="J9" s="2"/>
      <c r="K9" s="14" t="s">
        <v>13</v>
      </c>
    </row>
    <row r="10" ht="13.5" customHeight="1">
      <c r="A10" s="1">
        <f t="shared" ref="A10:A37" si="2">A9+1</f>
        <v>2</v>
      </c>
      <c r="B10" s="1"/>
      <c r="C10" s="1" t="s">
        <v>14</v>
      </c>
      <c r="D10" s="2"/>
      <c r="E10" s="14">
        <f>'Fee Revenue'!K12</f>
        <v>90</v>
      </c>
      <c r="F10" s="14">
        <f>'Fee Revenue'!K15</f>
        <v>9</v>
      </c>
      <c r="G10" s="14">
        <f>'Fee Revenue'!K18</f>
        <v>60</v>
      </c>
      <c r="H10" s="14">
        <f>'Fee Revenue'!K20</f>
        <v>159</v>
      </c>
      <c r="I10" s="14">
        <f t="shared" si="1"/>
        <v>149.8727496</v>
      </c>
      <c r="J10" s="2"/>
      <c r="K10" s="14" t="s">
        <v>15</v>
      </c>
    </row>
    <row r="11" ht="13.5" customHeight="1">
      <c r="A11" s="1">
        <f t="shared" si="2"/>
        <v>3</v>
      </c>
      <c r="B11" s="1"/>
      <c r="C11" s="1" t="s">
        <v>16</v>
      </c>
      <c r="D11" s="2"/>
      <c r="E11" s="14">
        <f>'Fee Revenue'!N12</f>
        <v>93.75</v>
      </c>
      <c r="F11" s="14">
        <f>'Fee Revenue'!N15</f>
        <v>9.25</v>
      </c>
      <c r="G11" s="14">
        <f>'Fee Revenue'!N18</f>
        <v>64</v>
      </c>
      <c r="H11" s="14">
        <f>'Fee Revenue'!N20</f>
        <v>167</v>
      </c>
      <c r="I11" s="14">
        <f t="shared" si="1"/>
        <v>152.8286571</v>
      </c>
      <c r="J11" s="2"/>
      <c r="K11" s="14" t="s">
        <v>15</v>
      </c>
    </row>
    <row r="12" ht="13.5" customHeight="1">
      <c r="A12" s="1">
        <f t="shared" si="2"/>
        <v>4</v>
      </c>
      <c r="B12" s="1"/>
      <c r="C12" s="1" t="s">
        <v>17</v>
      </c>
      <c r="D12" s="2"/>
      <c r="E12" s="14">
        <f>'Fee Revenue'!Q12</f>
        <v>97.5</v>
      </c>
      <c r="F12" s="14">
        <f>'Fee Revenue'!Q15</f>
        <v>9.5</v>
      </c>
      <c r="G12" s="14">
        <f>'Fee Revenue'!Q18</f>
        <v>68</v>
      </c>
      <c r="H12" s="14">
        <f>'Fee Revenue'!Q20</f>
        <v>175</v>
      </c>
      <c r="I12" s="14">
        <f t="shared" si="1"/>
        <v>155.4852334</v>
      </c>
      <c r="J12" s="2"/>
      <c r="K12" s="14" t="s">
        <v>15</v>
      </c>
    </row>
    <row r="13" ht="13.5" customHeight="1">
      <c r="A13" s="1">
        <f t="shared" si="2"/>
        <v>5</v>
      </c>
      <c r="B13" s="1"/>
      <c r="C13" s="1" t="s">
        <v>18</v>
      </c>
      <c r="D13" s="2"/>
      <c r="E13" s="14">
        <f>'Fee Revenue'!T12</f>
        <v>100.25</v>
      </c>
      <c r="F13" s="14">
        <f>'Fee Revenue'!T15</f>
        <v>9.75</v>
      </c>
      <c r="G13" s="14">
        <f>'Fee Revenue'!T18</f>
        <v>72</v>
      </c>
      <c r="H13" s="14">
        <f>'Fee Revenue'!T20</f>
        <v>182</v>
      </c>
      <c r="I13" s="14">
        <f t="shared" si="1"/>
        <v>156.9947988</v>
      </c>
      <c r="J13" s="2"/>
      <c r="K13" s="14" t="s">
        <v>15</v>
      </c>
    </row>
    <row r="14" ht="13.5" customHeight="1">
      <c r="A14" s="1">
        <f t="shared" si="2"/>
        <v>6</v>
      </c>
      <c r="B14" s="1"/>
      <c r="C14" s="1" t="s">
        <v>19</v>
      </c>
      <c r="D14" s="2"/>
      <c r="E14" s="14">
        <f>'Fee Revenue'!W12</f>
        <v>104</v>
      </c>
      <c r="F14" s="14">
        <f>'Fee Revenue'!W15</f>
        <v>10</v>
      </c>
      <c r="G14" s="14">
        <f>'Fee Revenue'!W18</f>
        <v>76</v>
      </c>
      <c r="H14" s="14">
        <f>'Fee Revenue'!W20</f>
        <v>190</v>
      </c>
      <c r="I14" s="14">
        <f t="shared" si="1"/>
        <v>159.1220088</v>
      </c>
      <c r="J14" s="2"/>
      <c r="K14" s="14" t="s">
        <v>15</v>
      </c>
    </row>
    <row r="15" ht="13.5" customHeight="1">
      <c r="A15" s="1">
        <f t="shared" si="2"/>
        <v>7</v>
      </c>
      <c r="B15" s="1"/>
      <c r="C15" s="1" t="s">
        <v>20</v>
      </c>
      <c r="D15" s="2"/>
      <c r="E15" s="14">
        <f>'Fee Revenue'!Z12</f>
        <v>107.75</v>
      </c>
      <c r="F15" s="14">
        <f>'Fee Revenue'!Z15</f>
        <v>10.25</v>
      </c>
      <c r="G15" s="14">
        <f>'Fee Revenue'!Z18</f>
        <v>81</v>
      </c>
      <c r="H15" s="14">
        <f>'Fee Revenue'!Z20</f>
        <v>199</v>
      </c>
      <c r="I15" s="14">
        <f t="shared" si="1"/>
        <v>161.8052108</v>
      </c>
      <c r="J15" s="2"/>
      <c r="K15" s="14" t="s">
        <v>15</v>
      </c>
    </row>
    <row r="16" ht="13.5" customHeight="1">
      <c r="A16" s="1">
        <f t="shared" si="2"/>
        <v>8</v>
      </c>
      <c r="B16" s="1"/>
      <c r="C16" s="1" t="s">
        <v>21</v>
      </c>
      <c r="D16" s="2"/>
      <c r="E16" s="14">
        <f>'Fee Revenue'!AC12</f>
        <v>111.5</v>
      </c>
      <c r="F16" s="14">
        <f>'Fee Revenue'!AC15</f>
        <v>10.5</v>
      </c>
      <c r="G16" s="14">
        <f>'Fee Revenue'!AC18</f>
        <v>86</v>
      </c>
      <c r="H16" s="14">
        <f>'Fee Revenue'!AC20</f>
        <v>208</v>
      </c>
      <c r="I16" s="14">
        <f t="shared" si="1"/>
        <v>164.1971207</v>
      </c>
      <c r="J16" s="2"/>
      <c r="K16" s="14" t="s">
        <v>15</v>
      </c>
    </row>
    <row r="17" ht="13.5" customHeight="1">
      <c r="A17" s="1">
        <f t="shared" si="2"/>
        <v>9</v>
      </c>
      <c r="B17" s="1"/>
      <c r="C17" s="1" t="s">
        <v>22</v>
      </c>
      <c r="D17" s="2"/>
      <c r="E17" s="14">
        <f>'Fee Revenue'!AF12</f>
        <v>115.25</v>
      </c>
      <c r="F17" s="14">
        <f>'Fee Revenue'!AF15</f>
        <v>10.75</v>
      </c>
      <c r="G17" s="14">
        <f>'Fee Revenue'!AF18</f>
        <v>91</v>
      </c>
      <c r="H17" s="14">
        <f>'Fee Revenue'!AF20</f>
        <v>217</v>
      </c>
      <c r="I17" s="14">
        <f t="shared" si="1"/>
        <v>166.3124309</v>
      </c>
      <c r="J17" s="2"/>
      <c r="K17" s="14" t="s">
        <v>15</v>
      </c>
    </row>
    <row r="18" ht="13.5" customHeight="1">
      <c r="A18" s="1">
        <f t="shared" si="2"/>
        <v>10</v>
      </c>
      <c r="B18" s="1"/>
      <c r="C18" s="1" t="s">
        <v>23</v>
      </c>
      <c r="D18" s="2"/>
      <c r="E18" s="14">
        <f>'Fee Revenue'!AI12</f>
        <v>120</v>
      </c>
      <c r="F18" s="14">
        <f>'Fee Revenue'!AI15</f>
        <v>11</v>
      </c>
      <c r="G18" s="14">
        <f>'Fee Revenue'!AI18</f>
        <v>97</v>
      </c>
      <c r="H18" s="14">
        <f>'Fee Revenue'!AI20</f>
        <v>228</v>
      </c>
      <c r="I18" s="14">
        <f t="shared" si="1"/>
        <v>169.6534126</v>
      </c>
      <c r="J18" s="2"/>
      <c r="K18" s="14" t="s">
        <v>15</v>
      </c>
    </row>
    <row r="19" ht="13.5" customHeight="1">
      <c r="A19" s="1">
        <f t="shared" si="2"/>
        <v>11</v>
      </c>
      <c r="B19" s="1"/>
      <c r="C19" s="1" t="s">
        <v>24</v>
      </c>
      <c r="D19" s="2"/>
      <c r="E19" s="14">
        <f>'Fee Revenue'!AL12</f>
        <v>124.75</v>
      </c>
      <c r="F19" s="14">
        <f>'Fee Revenue'!AL15</f>
        <v>11.25</v>
      </c>
      <c r="G19" s="14">
        <f>'Fee Revenue'!AL18</f>
        <v>103</v>
      </c>
      <c r="H19" s="14">
        <f>'Fee Revenue'!AL20</f>
        <v>239</v>
      </c>
      <c r="I19" s="14">
        <f t="shared" si="1"/>
        <v>172.6586851</v>
      </c>
      <c r="J19" s="2"/>
      <c r="K19" s="14" t="s">
        <v>15</v>
      </c>
    </row>
    <row r="20" ht="13.5" customHeight="1">
      <c r="A20" s="1">
        <f t="shared" si="2"/>
        <v>12</v>
      </c>
      <c r="B20" s="1"/>
      <c r="C20" s="1" t="s">
        <v>25</v>
      </c>
      <c r="D20" s="2"/>
      <c r="E20" s="14">
        <f>'Fee Revenue'!AO12</f>
        <v>128.5</v>
      </c>
      <c r="F20" s="14">
        <f>'Fee Revenue'!AO15</f>
        <v>11.5</v>
      </c>
      <c r="G20" s="14">
        <f>'Fee Revenue'!AO18</f>
        <v>109</v>
      </c>
      <c r="H20" s="14">
        <f>'Fee Revenue'!AO20</f>
        <v>249</v>
      </c>
      <c r="I20" s="14">
        <f t="shared" si="1"/>
        <v>174.6435902</v>
      </c>
      <c r="J20" s="2"/>
      <c r="K20" s="14" t="s">
        <v>15</v>
      </c>
    </row>
    <row r="21" ht="13.5" customHeight="1">
      <c r="A21" s="1">
        <f t="shared" si="2"/>
        <v>13</v>
      </c>
      <c r="B21" s="1"/>
      <c r="C21" s="1" t="s">
        <v>26</v>
      </c>
      <c r="D21" s="2"/>
      <c r="E21" s="14">
        <f>'Fee Revenue'!AR12</f>
        <v>132.25</v>
      </c>
      <c r="F21" s="14">
        <f>'Fee Revenue'!AR15</f>
        <v>11.75</v>
      </c>
      <c r="G21" s="14">
        <f>'Fee Revenue'!AR18</f>
        <v>116</v>
      </c>
      <c r="H21" s="14">
        <f>'Fee Revenue'!AR20</f>
        <v>260</v>
      </c>
      <c r="I21" s="14">
        <f t="shared" si="1"/>
        <v>177.0473484</v>
      </c>
      <c r="J21" s="2"/>
      <c r="K21" s="14" t="s">
        <v>15</v>
      </c>
    </row>
    <row r="22" ht="13.5" customHeight="1">
      <c r="A22" s="1">
        <f t="shared" si="2"/>
        <v>14</v>
      </c>
      <c r="B22" s="1"/>
      <c r="C22" s="1" t="s">
        <v>27</v>
      </c>
      <c r="D22" s="2"/>
      <c r="E22" s="14">
        <f>'Fee Revenue'!AU12</f>
        <v>137</v>
      </c>
      <c r="F22" s="14">
        <f>'Fee Revenue'!AU15</f>
        <v>12</v>
      </c>
      <c r="G22" s="14">
        <f>'Fee Revenue'!AU18</f>
        <v>123</v>
      </c>
      <c r="H22" s="14">
        <f>'Fee Revenue'!AU20</f>
        <v>272</v>
      </c>
      <c r="I22" s="14">
        <f t="shared" si="1"/>
        <v>179.8240432</v>
      </c>
      <c r="J22" s="2"/>
      <c r="K22" s="14" t="s">
        <v>15</v>
      </c>
    </row>
    <row r="23" ht="13.5" customHeight="1">
      <c r="A23" s="1">
        <f t="shared" si="2"/>
        <v>15</v>
      </c>
      <c r="B23" s="1"/>
      <c r="C23" s="1" t="s">
        <v>28</v>
      </c>
      <c r="D23" s="2"/>
      <c r="E23" s="14">
        <f>'Fee Revenue'!AX12</f>
        <v>141.75</v>
      </c>
      <c r="F23" s="14">
        <f>'Fee Revenue'!AX15</f>
        <v>12.25</v>
      </c>
      <c r="G23" s="14">
        <f>'Fee Revenue'!AX18</f>
        <v>130</v>
      </c>
      <c r="H23" s="14">
        <f>'Fee Revenue'!AX20</f>
        <v>284</v>
      </c>
      <c r="I23" s="14">
        <f t="shared" si="1"/>
        <v>182.2887931</v>
      </c>
      <c r="J23" s="2"/>
      <c r="K23" s="14" t="s">
        <v>15</v>
      </c>
    </row>
    <row r="24" ht="13.5" customHeight="1">
      <c r="A24" s="1">
        <f t="shared" si="2"/>
        <v>16</v>
      </c>
      <c r="B24" s="1"/>
      <c r="C24" s="1" t="s">
        <v>29</v>
      </c>
      <c r="D24" s="2"/>
      <c r="E24" s="14">
        <f>'Fee Revenue'!BA12</f>
        <v>146.5</v>
      </c>
      <c r="F24" s="14">
        <f>'Fee Revenue'!BA15</f>
        <v>12.5</v>
      </c>
      <c r="G24" s="14">
        <f>'Fee Revenue'!BA18</f>
        <v>138</v>
      </c>
      <c r="H24" s="14">
        <f>'Fee Revenue'!BA20</f>
        <v>297</v>
      </c>
      <c r="I24" s="14">
        <f t="shared" si="1"/>
        <v>185.0805809</v>
      </c>
      <c r="J24" s="2"/>
      <c r="K24" s="14" t="s">
        <v>15</v>
      </c>
    </row>
    <row r="25" ht="13.5" customHeight="1">
      <c r="A25" s="1">
        <f t="shared" si="2"/>
        <v>17</v>
      </c>
      <c r="B25" s="1"/>
      <c r="C25" s="1" t="s">
        <v>30</v>
      </c>
      <c r="D25" s="2"/>
      <c r="E25" s="14">
        <f>'Fee Revenue'!BD12</f>
        <v>152</v>
      </c>
      <c r="F25" s="14">
        <f>'Fee Revenue'!BD15</f>
        <v>13</v>
      </c>
      <c r="G25" s="14">
        <f>'Fee Revenue'!BD18</f>
        <v>146</v>
      </c>
      <c r="H25" s="14">
        <f>'Fee Revenue'!BD20</f>
        <v>311</v>
      </c>
      <c r="I25" s="14">
        <f t="shared" si="1"/>
        <v>188.1601147</v>
      </c>
      <c r="J25" s="2"/>
      <c r="K25" s="14" t="s">
        <v>15</v>
      </c>
    </row>
    <row r="26" ht="13.5" customHeight="1">
      <c r="A26" s="1">
        <f t="shared" si="2"/>
        <v>18</v>
      </c>
      <c r="B26" s="1"/>
      <c r="C26" s="1" t="s">
        <v>31</v>
      </c>
      <c r="D26" s="2"/>
      <c r="E26" s="14">
        <f>'Fee Revenue'!BG12</f>
        <v>157.5</v>
      </c>
      <c r="F26" s="14">
        <f>'Fee Revenue'!BG15</f>
        <v>13.5</v>
      </c>
      <c r="G26" s="14">
        <f>'Fee Revenue'!BG18</f>
        <v>155</v>
      </c>
      <c r="H26" s="14">
        <f>'Fee Revenue'!BG20</f>
        <v>326</v>
      </c>
      <c r="I26" s="14">
        <f t="shared" si="1"/>
        <v>191.4906421</v>
      </c>
      <c r="J26" s="2"/>
      <c r="K26" s="14" t="s">
        <v>15</v>
      </c>
    </row>
    <row r="27" ht="13.5" customHeight="1">
      <c r="A27" s="1">
        <f t="shared" si="2"/>
        <v>19</v>
      </c>
      <c r="B27" s="1"/>
      <c r="C27" s="1" t="s">
        <v>32</v>
      </c>
      <c r="D27" s="2"/>
      <c r="E27" s="14">
        <f>'Fee Revenue'!BJ12</f>
        <v>163</v>
      </c>
      <c r="F27" s="14">
        <f>'Fee Revenue'!BJ15</f>
        <v>14</v>
      </c>
      <c r="G27" s="14">
        <f>'Fee Revenue'!BJ18</f>
        <v>164</v>
      </c>
      <c r="H27" s="14">
        <f>'Fee Revenue'!BJ20</f>
        <v>341</v>
      </c>
      <c r="I27" s="14">
        <f t="shared" si="1"/>
        <v>194.4675351</v>
      </c>
      <c r="J27" s="2"/>
      <c r="K27" s="14" t="s">
        <v>15</v>
      </c>
    </row>
    <row r="28" ht="13.5" customHeight="1">
      <c r="A28" s="1">
        <f t="shared" si="2"/>
        <v>20</v>
      </c>
      <c r="B28" s="1"/>
      <c r="C28" s="1" t="s">
        <v>33</v>
      </c>
      <c r="D28" s="2"/>
      <c r="E28" s="14">
        <f>'Fee Revenue'!BM12</f>
        <v>168.5</v>
      </c>
      <c r="F28" s="14">
        <f>'Fee Revenue'!BM15</f>
        <v>14.5</v>
      </c>
      <c r="G28" s="14">
        <f>'Fee Revenue'!BM18</f>
        <v>174</v>
      </c>
      <c r="H28" s="14">
        <f>'Fee Revenue'!BM20</f>
        <v>357</v>
      </c>
      <c r="I28" s="14">
        <f t="shared" si="1"/>
        <v>197.6622442</v>
      </c>
      <c r="J28" s="2"/>
      <c r="K28" s="14" t="s">
        <v>15</v>
      </c>
    </row>
    <row r="29" ht="13.5" customHeight="1">
      <c r="A29" s="1">
        <f t="shared" si="2"/>
        <v>21</v>
      </c>
      <c r="B29" s="1"/>
      <c r="C29" s="1" t="s">
        <v>34</v>
      </c>
      <c r="D29" s="2"/>
      <c r="E29" s="14">
        <f>'Fee Revenue'!BP12</f>
        <v>175</v>
      </c>
      <c r="F29" s="14">
        <f>'Fee Revenue'!BP15</f>
        <v>15</v>
      </c>
      <c r="G29" s="14">
        <f>'Fee Revenue'!BP18</f>
        <v>185</v>
      </c>
      <c r="H29" s="14">
        <f>'Fee Revenue'!BP20</f>
        <v>375</v>
      </c>
      <c r="I29" s="14">
        <f t="shared" si="1"/>
        <v>201.5809785</v>
      </c>
      <c r="J29" s="2"/>
      <c r="K29" s="14" t="s">
        <v>15</v>
      </c>
    </row>
    <row r="30" ht="13.5" customHeight="1">
      <c r="A30" s="1">
        <f t="shared" si="2"/>
        <v>22</v>
      </c>
      <c r="B30" s="1"/>
      <c r="C30" s="1" t="s">
        <v>35</v>
      </c>
      <c r="D30" s="2"/>
      <c r="E30" s="14">
        <f>'Fee Revenue'!BS12</f>
        <v>180.5</v>
      </c>
      <c r="F30" s="14">
        <f>'Fee Revenue'!BS15</f>
        <v>15.5</v>
      </c>
      <c r="G30" s="14">
        <f>'Fee Revenue'!BS18</f>
        <v>196</v>
      </c>
      <c r="H30" s="14">
        <f>'Fee Revenue'!BS20</f>
        <v>392</v>
      </c>
      <c r="I30" s="14">
        <f t="shared" si="1"/>
        <v>204.5818603</v>
      </c>
      <c r="J30" s="2"/>
      <c r="K30" s="14" t="s">
        <v>15</v>
      </c>
    </row>
    <row r="31" ht="13.5" customHeight="1">
      <c r="A31" s="1">
        <f t="shared" si="2"/>
        <v>23</v>
      </c>
      <c r="B31" s="1"/>
      <c r="C31" s="1" t="s">
        <v>36</v>
      </c>
      <c r="D31" s="2"/>
      <c r="E31" s="14">
        <f>'Fee Revenue'!BV12</f>
        <v>187</v>
      </c>
      <c r="F31" s="14">
        <f>'Fee Revenue'!BV15</f>
        <v>16</v>
      </c>
      <c r="G31" s="14">
        <f>'Fee Revenue'!BV18</f>
        <v>208</v>
      </c>
      <c r="H31" s="14">
        <f>'Fee Revenue'!BV20</f>
        <v>411</v>
      </c>
      <c r="I31" s="14">
        <f t="shared" si="1"/>
        <v>208.2503086</v>
      </c>
      <c r="J31" s="2"/>
      <c r="K31" s="14" t="s">
        <v>15</v>
      </c>
    </row>
    <row r="32" ht="13.5" customHeight="1">
      <c r="A32" s="1">
        <f t="shared" si="2"/>
        <v>24</v>
      </c>
      <c r="B32" s="1"/>
      <c r="C32" s="1" t="s">
        <v>37</v>
      </c>
      <c r="D32" s="2"/>
      <c r="E32" s="14">
        <f>'Fee Revenue'!BY12</f>
        <v>193.5</v>
      </c>
      <c r="F32" s="14">
        <f>'Fee Revenue'!BY15</f>
        <v>16.5</v>
      </c>
      <c r="G32" s="14">
        <f>'Fee Revenue'!BY18</f>
        <v>221</v>
      </c>
      <c r="H32" s="14">
        <f>'Fee Revenue'!BY20</f>
        <v>431</v>
      </c>
      <c r="I32" s="14">
        <f t="shared" si="1"/>
        <v>212.0234404</v>
      </c>
      <c r="J32" s="2"/>
      <c r="K32" s="14" t="s">
        <v>15</v>
      </c>
    </row>
    <row r="33" ht="13.5" customHeight="1">
      <c r="A33" s="1">
        <f t="shared" si="2"/>
        <v>25</v>
      </c>
      <c r="B33" s="1"/>
      <c r="C33" s="1" t="s">
        <v>38</v>
      </c>
      <c r="D33" s="2"/>
      <c r="E33" s="14">
        <f>'Fee Revenue'!CB12</f>
        <v>200</v>
      </c>
      <c r="F33" s="14">
        <f>'Fee Revenue'!CB15</f>
        <v>17</v>
      </c>
      <c r="G33" s="14">
        <f>'Fee Revenue'!CB18</f>
        <v>234</v>
      </c>
      <c r="H33" s="14">
        <f>'Fee Revenue'!CB20</f>
        <v>451</v>
      </c>
      <c r="I33" s="14">
        <f t="shared" si="1"/>
        <v>215.4001117</v>
      </c>
      <c r="J33" s="2"/>
      <c r="K33" s="14" t="s">
        <v>15</v>
      </c>
    </row>
    <row r="34" ht="13.5" customHeight="1">
      <c r="A34" s="1">
        <f t="shared" si="2"/>
        <v>26</v>
      </c>
      <c r="B34" s="1"/>
      <c r="C34" s="1" t="s">
        <v>39</v>
      </c>
      <c r="D34" s="2"/>
      <c r="E34" s="14">
        <f>'Fee Revenue'!CE12</f>
        <v>206.5</v>
      </c>
      <c r="F34" s="14">
        <f>'Fee Revenue'!CE15</f>
        <v>17.5</v>
      </c>
      <c r="G34" s="14">
        <f>'Fee Revenue'!CE18</f>
        <v>248</v>
      </c>
      <c r="H34" s="14">
        <f>'Fee Revenue'!CE20</f>
        <v>472</v>
      </c>
      <c r="I34" s="14">
        <f t="shared" si="1"/>
        <v>218.8639114</v>
      </c>
      <c r="J34" s="2"/>
      <c r="K34" s="14" t="s">
        <v>15</v>
      </c>
    </row>
    <row r="35" ht="13.5" customHeight="1">
      <c r="A35" s="1">
        <f t="shared" si="2"/>
        <v>27</v>
      </c>
      <c r="B35" s="1"/>
      <c r="C35" s="1" t="s">
        <v>40</v>
      </c>
      <c r="D35" s="2"/>
      <c r="E35" s="14">
        <f>'Fee Revenue'!CH12</f>
        <v>214</v>
      </c>
      <c r="F35" s="14">
        <f>'Fee Revenue'!CH15</f>
        <v>18</v>
      </c>
      <c r="G35" s="14">
        <f>'Fee Revenue'!CH18</f>
        <v>263</v>
      </c>
      <c r="H35" s="14">
        <f>'Fee Revenue'!CH20</f>
        <v>495</v>
      </c>
      <c r="I35" s="14">
        <f t="shared" si="1"/>
        <v>222.8435826</v>
      </c>
      <c r="J35" s="2"/>
      <c r="K35" s="14" t="s">
        <v>15</v>
      </c>
    </row>
    <row r="36" ht="13.5" customHeight="1">
      <c r="A36" s="1">
        <f t="shared" si="2"/>
        <v>28</v>
      </c>
      <c r="B36" s="1"/>
      <c r="C36" s="1" t="s">
        <v>41</v>
      </c>
      <c r="D36" s="2"/>
      <c r="E36" s="14">
        <f>'Fee Revenue'!CK12</f>
        <v>220.5</v>
      </c>
      <c r="F36" s="14">
        <f>'Fee Revenue'!CK15</f>
        <v>18.5</v>
      </c>
      <c r="G36" s="14">
        <f>'Fee Revenue'!CK18</f>
        <v>279</v>
      </c>
      <c r="H36" s="14">
        <f>'Fee Revenue'!CK20</f>
        <v>518</v>
      </c>
      <c r="I36" s="14">
        <f t="shared" si="1"/>
        <v>226.4057581</v>
      </c>
      <c r="J36" s="2"/>
      <c r="K36" s="14" t="s">
        <v>15</v>
      </c>
    </row>
    <row r="37" ht="13.5" customHeight="1">
      <c r="A37" s="1">
        <f t="shared" si="2"/>
        <v>29</v>
      </c>
      <c r="B37" s="1"/>
      <c r="C37" s="17" t="s">
        <v>42</v>
      </c>
      <c r="D37" s="2"/>
      <c r="E37" s="18">
        <f>'Fee Revenue'!CN12</f>
        <v>228</v>
      </c>
      <c r="F37" s="18">
        <f>'Fee Revenue'!CN15</f>
        <v>19</v>
      </c>
      <c r="G37" s="18">
        <f>'Fee Revenue'!CN18</f>
        <v>296</v>
      </c>
      <c r="H37" s="18">
        <f>'Fee Revenue'!CN20</f>
        <v>543</v>
      </c>
      <c r="I37" s="18">
        <f t="shared" si="1"/>
        <v>230.4200747</v>
      </c>
      <c r="J37" s="2"/>
      <c r="K37" s="18" t="s">
        <v>15</v>
      </c>
      <c r="L37" s="9"/>
      <c r="M37" s="9"/>
      <c r="N37" s="9"/>
      <c r="O37" s="9"/>
    </row>
    <row r="38" ht="13.5" customHeight="1">
      <c r="A38" s="1"/>
      <c r="B38" s="1"/>
      <c r="C38" s="1"/>
      <c r="D38" s="2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</row>
    <row r="39" ht="13.5" customHeight="1">
      <c r="A39" s="1"/>
      <c r="B39" s="1"/>
      <c r="C39" s="1" t="s">
        <v>43</v>
      </c>
      <c r="D39" s="2"/>
      <c r="E39" s="1"/>
      <c r="F39" s="1"/>
      <c r="G39" s="19">
        <v>0.03</v>
      </c>
      <c r="H39" s="1"/>
      <c r="I39" s="1"/>
      <c r="J39" s="2"/>
      <c r="K39" s="1"/>
      <c r="L39" s="1"/>
      <c r="M39" s="1"/>
      <c r="N39" s="1"/>
      <c r="O39" s="1"/>
    </row>
  </sheetData>
  <mergeCells count="31">
    <mergeCell ref="E6:I6"/>
    <mergeCell ref="K6:O6"/>
    <mergeCell ref="K9:O9"/>
    <mergeCell ref="K10:O10"/>
    <mergeCell ref="K11:O11"/>
    <mergeCell ref="K12:O12"/>
    <mergeCell ref="K13:O13"/>
    <mergeCell ref="K14:O14"/>
    <mergeCell ref="K15:O15"/>
    <mergeCell ref="K16:O16"/>
    <mergeCell ref="K17:O17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35:O35"/>
    <mergeCell ref="K36:O36"/>
    <mergeCell ref="K37:O37"/>
    <mergeCell ref="K28:O28"/>
    <mergeCell ref="K29:O29"/>
    <mergeCell ref="K30:O30"/>
    <mergeCell ref="K31:O31"/>
    <mergeCell ref="K32:O32"/>
    <mergeCell ref="K33:O33"/>
    <mergeCell ref="K34:O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.71"/>
    <col customWidth="1" min="2" max="2" width="2.43"/>
    <col customWidth="1" min="3" max="3" width="63.43"/>
    <col customWidth="1" min="4" max="4" width="14.71"/>
    <col customWidth="1" min="5" max="6" width="8.86"/>
  </cols>
  <sheetData>
    <row r="1" ht="13.5" customHeight="1">
      <c r="A1" s="1"/>
      <c r="B1" s="1"/>
      <c r="C1" s="1"/>
      <c r="D1" s="1"/>
    </row>
    <row r="2" ht="22.5" customHeight="1">
      <c r="A2" s="1"/>
      <c r="B2" s="3" t="s">
        <v>0</v>
      </c>
    </row>
    <row r="3" ht="18.0" customHeight="1">
      <c r="A3" s="1"/>
      <c r="B3" s="4" t="s">
        <v>44</v>
      </c>
      <c r="C3" s="4"/>
      <c r="D3" s="2"/>
    </row>
    <row r="4">
      <c r="A4" s="1"/>
      <c r="B4" s="5" t="s">
        <v>2</v>
      </c>
      <c r="C4" s="4"/>
      <c r="D4" s="2"/>
    </row>
    <row r="5" ht="18.0" customHeight="1">
      <c r="A5" s="1"/>
      <c r="B5" s="6"/>
      <c r="C5" s="2"/>
      <c r="D5" s="2"/>
    </row>
    <row r="6" ht="13.5" customHeight="1">
      <c r="A6" s="1"/>
      <c r="B6" s="1"/>
      <c r="C6" s="1"/>
      <c r="D6" s="1"/>
    </row>
    <row r="7" ht="13.5" customHeight="1">
      <c r="A7" s="1"/>
      <c r="B7" s="20" t="s">
        <v>45</v>
      </c>
      <c r="C7" s="21"/>
      <c r="D7" s="22" t="s">
        <v>11</v>
      </c>
    </row>
    <row r="8" ht="13.5" customHeight="1">
      <c r="A8" s="1"/>
      <c r="B8" s="1"/>
      <c r="C8" s="23"/>
      <c r="D8" s="23"/>
    </row>
    <row r="9" ht="13.5" customHeight="1">
      <c r="A9" s="1"/>
      <c r="B9" s="24">
        <v>1.0</v>
      </c>
      <c r="C9" s="23" t="s">
        <v>46</v>
      </c>
      <c r="D9" s="25">
        <f>-'Model Summary'!F9</f>
        <v>0.2660469234</v>
      </c>
    </row>
    <row r="10" ht="13.5" customHeight="1">
      <c r="A10" s="1"/>
      <c r="B10" s="24"/>
      <c r="C10" s="23" t="s">
        <v>47</v>
      </c>
      <c r="D10" s="25"/>
    </row>
    <row r="11" ht="13.5" customHeight="1">
      <c r="A11" s="1"/>
      <c r="B11" s="24"/>
      <c r="C11" s="23"/>
      <c r="D11" s="25"/>
    </row>
    <row r="12" ht="13.5" customHeight="1">
      <c r="A12" s="1"/>
      <c r="B12" s="24">
        <v>2.0</v>
      </c>
      <c r="C12" s="26" t="s">
        <v>48</v>
      </c>
      <c r="D12" s="25">
        <f>'Model Summary'!F38</f>
        <v>0.480798162</v>
      </c>
    </row>
    <row r="13" ht="13.5" customHeight="1">
      <c r="A13" s="1"/>
      <c r="B13" s="24"/>
      <c r="C13" s="26"/>
      <c r="D13" s="25"/>
    </row>
    <row r="14" ht="45.0" customHeight="1">
      <c r="A14" s="1"/>
      <c r="B14" s="24">
        <v>3.0</v>
      </c>
      <c r="C14" s="26" t="s">
        <v>49</v>
      </c>
      <c r="D14" s="25">
        <f>'Model Summary'!F42</f>
        <v>0.1336095315</v>
      </c>
    </row>
    <row r="15" ht="13.5" customHeight="1">
      <c r="A15" s="1"/>
      <c r="B15" s="24"/>
      <c r="C15" s="26"/>
      <c r="D15" s="25"/>
    </row>
    <row r="16" ht="30.0" customHeight="1">
      <c r="A16" s="1"/>
      <c r="B16" s="24">
        <v>4.0</v>
      </c>
      <c r="C16" s="26" t="s">
        <v>50</v>
      </c>
      <c r="D16" s="25">
        <f>'Model Summary'!F46</f>
        <v>0.07735288665</v>
      </c>
    </row>
    <row r="17" ht="13.5" customHeight="1">
      <c r="A17" s="1"/>
      <c r="B17" s="24"/>
      <c r="C17" s="26"/>
      <c r="D17" s="25"/>
    </row>
    <row r="18" ht="13.5" customHeight="1">
      <c r="A18" s="1"/>
      <c r="B18" s="24">
        <v>5.0</v>
      </c>
      <c r="C18" s="26" t="s">
        <v>51</v>
      </c>
      <c r="D18" s="25">
        <f>'Model Summary'!F50</f>
        <v>0.02812832242</v>
      </c>
    </row>
    <row r="19" ht="13.5" customHeight="1">
      <c r="A19" s="1"/>
      <c r="B19" s="24"/>
      <c r="C19" s="26"/>
      <c r="D19" s="25"/>
    </row>
    <row r="20" ht="13.5" customHeight="1">
      <c r="A20" s="1"/>
      <c r="B20" s="24">
        <v>6.0</v>
      </c>
      <c r="C20" s="26" t="s">
        <v>52</v>
      </c>
      <c r="D20" s="25">
        <f>'Model Summary'!F53</f>
        <v>0.007032080604</v>
      </c>
    </row>
    <row r="21" ht="13.5" customHeight="1">
      <c r="A21" s="1"/>
      <c r="B21" s="24"/>
      <c r="C21" s="26"/>
      <c r="D21" s="25"/>
    </row>
    <row r="22" ht="13.5" customHeight="1">
      <c r="A22" s="1"/>
      <c r="B22" s="24">
        <v>7.0</v>
      </c>
      <c r="C22" s="26" t="s">
        <v>53</v>
      </c>
      <c r="D22" s="25">
        <f>'Model Summary'!F56</f>
        <v>0.007032080604</v>
      </c>
    </row>
    <row r="23" ht="13.5" customHeight="1">
      <c r="A23" s="1"/>
      <c r="B23" s="24"/>
      <c r="C23" s="26"/>
      <c r="D23" s="25"/>
    </row>
    <row r="24" ht="13.5" customHeight="1">
      <c r="A24" s="1"/>
      <c r="B24" s="24"/>
      <c r="C24" s="26"/>
      <c r="D24" s="25">
        <f>'Model Summary'!F58</f>
        <v>0</v>
      </c>
    </row>
    <row r="25" ht="13.5" customHeight="1">
      <c r="A25" s="1"/>
      <c r="B25" s="27"/>
      <c r="C25" s="21"/>
      <c r="D25" s="28"/>
    </row>
    <row r="26" ht="13.5" customHeight="1">
      <c r="A26" s="1"/>
      <c r="B26" s="29" t="s">
        <v>54</v>
      </c>
      <c r="C26" s="23"/>
      <c r="D26" s="30">
        <f>SUM(D9:D25)</f>
        <v>0.9999999872</v>
      </c>
    </row>
  </sheetData>
  <mergeCells count="1">
    <mergeCell ref="B2:D2"/>
  </mergeCells>
  <conditionalFormatting sqref="D26">
    <cfRule type="expression" dxfId="0" priority="1">
      <formula>$D$26&lt;&gt;1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.71"/>
    <col customWidth="1" min="2" max="2" width="8.86"/>
    <col customWidth="1" min="3" max="3" width="28.0"/>
    <col customWidth="1" min="4" max="4" width="13.29"/>
    <col customWidth="1" min="5" max="5" width="2.71"/>
    <col customWidth="1" min="6" max="6" width="10.71"/>
    <col customWidth="1" min="7" max="7" width="13.29"/>
    <col customWidth="1" min="8" max="8" width="2.71"/>
    <col customWidth="1" min="9" max="9" width="10.71"/>
    <col customWidth="1" min="10" max="10" width="13.29"/>
    <col customWidth="1" min="11" max="11" width="2.71"/>
    <col customWidth="1" min="12" max="12" width="8.86"/>
    <col customWidth="1" min="13" max="13" width="13.29"/>
  </cols>
  <sheetData>
    <row r="1" ht="13.5" customHeight="1">
      <c r="A1" s="1"/>
      <c r="C1" s="1"/>
      <c r="D1" s="31"/>
      <c r="E1" s="31"/>
      <c r="F1" s="31"/>
      <c r="G1" s="1"/>
      <c r="H1" s="1"/>
      <c r="I1" s="1"/>
      <c r="J1" s="1"/>
      <c r="K1" s="1"/>
      <c r="M1" s="1"/>
    </row>
    <row r="2" ht="22.5" customHeight="1">
      <c r="A2" s="1"/>
      <c r="B2" s="3" t="s">
        <v>0</v>
      </c>
      <c r="C2" s="1"/>
      <c r="D2" s="3"/>
      <c r="E2" s="3"/>
      <c r="F2" s="3"/>
      <c r="G2" s="2"/>
      <c r="H2" s="2"/>
      <c r="I2" s="2"/>
      <c r="J2" s="2"/>
      <c r="K2" s="2"/>
      <c r="L2" s="2"/>
      <c r="M2" s="2"/>
    </row>
    <row r="3" ht="18.0" customHeight="1">
      <c r="A3" s="1"/>
      <c r="B3" s="4" t="s">
        <v>55</v>
      </c>
      <c r="C3" s="1"/>
      <c r="D3" s="4"/>
      <c r="E3" s="4"/>
      <c r="F3" s="4"/>
      <c r="G3" s="2"/>
      <c r="H3" s="2"/>
      <c r="I3" s="2"/>
      <c r="J3" s="2"/>
      <c r="K3" s="2"/>
      <c r="L3" s="2"/>
      <c r="M3" s="2"/>
    </row>
    <row r="4">
      <c r="A4" s="1"/>
      <c r="B4" s="5" t="s">
        <v>2</v>
      </c>
      <c r="C4" s="1"/>
      <c r="D4" s="4"/>
      <c r="E4" s="4"/>
      <c r="F4" s="4"/>
      <c r="G4" s="2"/>
      <c r="H4" s="2"/>
      <c r="I4" s="2"/>
      <c r="J4" s="2"/>
      <c r="K4" s="2"/>
      <c r="L4" s="2"/>
      <c r="M4" s="2"/>
    </row>
    <row r="5" ht="18.0" customHeight="1">
      <c r="A5" s="1"/>
      <c r="B5" s="6" t="str">
        <f>'Model Summary'!B5</f>
        <v>REVISED DRAFT 2/26/15</v>
      </c>
      <c r="C5" s="1"/>
      <c r="D5" s="2"/>
      <c r="E5" s="2"/>
      <c r="F5" s="2"/>
      <c r="G5" s="2"/>
      <c r="H5" s="2"/>
      <c r="I5" s="2"/>
      <c r="J5" s="2"/>
      <c r="K5" s="2"/>
      <c r="L5" s="2"/>
      <c r="M5" s="2"/>
    </row>
    <row r="6" ht="18.0" customHeight="1">
      <c r="A6" s="1"/>
      <c r="B6" s="6"/>
      <c r="C6" s="1"/>
      <c r="D6" s="2"/>
      <c r="E6" s="2"/>
      <c r="F6" s="2"/>
      <c r="G6" s="2"/>
      <c r="H6" s="2"/>
      <c r="I6" s="2"/>
      <c r="J6" s="2"/>
      <c r="K6" s="2"/>
      <c r="L6" s="2"/>
      <c r="M6" s="2"/>
    </row>
    <row r="7" ht="13.5" customHeight="1">
      <c r="A7" s="1"/>
      <c r="B7" s="32" t="s">
        <v>56</v>
      </c>
      <c r="C7" s="33" t="s">
        <v>57</v>
      </c>
      <c r="J7" s="34"/>
      <c r="K7" s="1"/>
      <c r="M7" s="1"/>
    </row>
    <row r="8" ht="13.5" customHeight="1">
      <c r="A8" s="1"/>
      <c r="J8" s="34"/>
      <c r="K8" s="1"/>
      <c r="M8" s="1"/>
    </row>
    <row r="9" ht="13.5" customHeight="1">
      <c r="A9" s="1"/>
      <c r="C9" s="1"/>
      <c r="D9" s="31"/>
      <c r="E9" s="31"/>
      <c r="F9" s="31"/>
      <c r="G9" s="1"/>
      <c r="H9" s="1"/>
      <c r="I9" s="1"/>
      <c r="J9" s="1"/>
      <c r="K9" s="1"/>
      <c r="M9" s="1"/>
    </row>
    <row r="10" ht="13.5" customHeight="1">
      <c r="A10" s="1"/>
      <c r="C10" s="1"/>
      <c r="D10" s="35" t="s">
        <v>54</v>
      </c>
      <c r="E10" s="35"/>
      <c r="F10" s="32" t="s">
        <v>58</v>
      </c>
      <c r="H10" s="1"/>
      <c r="I10" s="1"/>
      <c r="J10" s="1"/>
      <c r="K10" s="1"/>
      <c r="M10" s="1"/>
    </row>
    <row r="11" ht="13.5" customHeight="1">
      <c r="A11" s="1"/>
      <c r="C11" s="1"/>
      <c r="D11" s="36" t="s">
        <v>59</v>
      </c>
      <c r="E11" s="35"/>
      <c r="F11" s="36" t="s">
        <v>60</v>
      </c>
      <c r="G11" s="37" t="s">
        <v>59</v>
      </c>
      <c r="H11" s="1"/>
      <c r="I11" s="1"/>
      <c r="J11" s="1"/>
      <c r="K11" s="1"/>
      <c r="M11" s="1"/>
    </row>
    <row r="12" ht="13.5" customHeight="1">
      <c r="A12" s="1"/>
      <c r="C12" s="1" t="s">
        <v>61</v>
      </c>
      <c r="D12" s="35"/>
      <c r="E12" s="35"/>
      <c r="F12" s="35"/>
      <c r="G12" s="32"/>
      <c r="H12" s="1"/>
      <c r="I12" s="1"/>
      <c r="J12" s="1"/>
      <c r="K12" s="1"/>
      <c r="M12" s="1"/>
    </row>
    <row r="13" ht="13.5" customHeight="1">
      <c r="A13" s="1"/>
      <c r="C13" s="38" t="s">
        <v>62</v>
      </c>
      <c r="D13" s="39">
        <v>235638.0</v>
      </c>
      <c r="E13" s="40"/>
      <c r="F13" s="41">
        <v>1.0</v>
      </c>
      <c r="G13" s="42">
        <f t="shared" ref="G13:G16" si="1">$D13*F13</f>
        <v>235638</v>
      </c>
      <c r="H13" s="1"/>
      <c r="I13" s="1"/>
      <c r="J13" s="1"/>
      <c r="K13" s="1"/>
      <c r="M13" s="1"/>
    </row>
    <row r="14" ht="13.5" customHeight="1">
      <c r="A14" s="1"/>
      <c r="C14" s="38" t="s">
        <v>63</v>
      </c>
      <c r="D14" s="39">
        <v>412376.0</v>
      </c>
      <c r="E14" s="40"/>
      <c r="F14" s="41">
        <v>1.0</v>
      </c>
      <c r="G14" s="42">
        <f t="shared" si="1"/>
        <v>412376</v>
      </c>
      <c r="H14" s="1"/>
      <c r="I14" s="1"/>
      <c r="J14" s="1"/>
      <c r="K14" s="1"/>
      <c r="M14" s="1"/>
    </row>
    <row r="15" ht="13.5" customHeight="1">
      <c r="A15" s="1"/>
      <c r="C15" s="38" t="s">
        <v>64</v>
      </c>
      <c r="D15" s="43">
        <v>111568.0</v>
      </c>
      <c r="E15" s="40"/>
      <c r="F15" s="44">
        <v>1.0</v>
      </c>
      <c r="G15" s="45">
        <f t="shared" si="1"/>
        <v>111568</v>
      </c>
      <c r="H15" s="1"/>
      <c r="I15" s="1"/>
      <c r="J15" s="1"/>
      <c r="K15" s="1"/>
      <c r="M15" s="1"/>
    </row>
    <row r="16" ht="13.5" customHeight="1">
      <c r="A16" s="1"/>
      <c r="C16" s="46" t="s">
        <v>65</v>
      </c>
      <c r="D16" s="42">
        <f>SUM(D13:D15)</f>
        <v>759582</v>
      </c>
      <c r="E16" s="40"/>
      <c r="F16" s="41">
        <v>1.0</v>
      </c>
      <c r="G16" s="42">
        <f t="shared" si="1"/>
        <v>759582</v>
      </c>
      <c r="H16" s="1"/>
      <c r="I16" s="1"/>
      <c r="J16" s="1"/>
      <c r="K16" s="1"/>
      <c r="M16" s="1"/>
    </row>
    <row r="17" ht="13.5" customHeight="1">
      <c r="A17" s="1"/>
      <c r="C17" s="1"/>
      <c r="D17" s="42"/>
      <c r="E17" s="40"/>
      <c r="F17" s="41"/>
      <c r="G17" s="42"/>
      <c r="H17" s="1"/>
      <c r="I17" s="1"/>
      <c r="J17" s="1"/>
      <c r="K17" s="1"/>
      <c r="M17" s="1"/>
    </row>
    <row r="18" ht="13.5" customHeight="1">
      <c r="A18" s="1"/>
      <c r="C18" s="47" t="s">
        <v>66</v>
      </c>
      <c r="D18" s="48">
        <v>0.0</v>
      </c>
      <c r="E18" s="49"/>
      <c r="F18" s="50">
        <v>1.0</v>
      </c>
      <c r="G18" s="48">
        <f>$D18*F18</f>
        <v>0</v>
      </c>
      <c r="H18" s="1"/>
      <c r="I18" s="1"/>
      <c r="J18" s="1"/>
      <c r="K18" s="1"/>
      <c r="M18" s="1"/>
    </row>
    <row r="19" ht="13.5" customHeight="1">
      <c r="A19" s="1"/>
      <c r="C19" s="1"/>
      <c r="D19" s="42"/>
      <c r="E19" s="40"/>
      <c r="F19" s="41"/>
      <c r="G19" s="42"/>
      <c r="H19" s="1"/>
      <c r="I19" s="1"/>
      <c r="J19" s="1"/>
      <c r="K19" s="1"/>
      <c r="M19" s="1"/>
    </row>
    <row r="20" ht="13.5" customHeight="1">
      <c r="A20" s="1"/>
      <c r="C20" s="51" t="s">
        <v>67</v>
      </c>
      <c r="D20" s="39">
        <v>1023731.0</v>
      </c>
      <c r="E20" s="40"/>
      <c r="F20" s="41">
        <v>1.0</v>
      </c>
      <c r="G20" s="42">
        <f>$D20*F20</f>
        <v>1023731</v>
      </c>
      <c r="H20" s="1"/>
      <c r="I20" s="1"/>
      <c r="J20" s="1"/>
      <c r="K20" s="1"/>
      <c r="M20" s="1"/>
    </row>
    <row r="21" ht="13.5" customHeight="1">
      <c r="A21" s="1"/>
      <c r="C21" s="1"/>
      <c r="D21" s="42"/>
      <c r="E21" s="40"/>
      <c r="F21" s="41"/>
      <c r="G21" s="42"/>
      <c r="H21" s="1"/>
      <c r="I21" s="1"/>
      <c r="J21" s="1"/>
      <c r="K21" s="1"/>
      <c r="M21" s="1"/>
    </row>
    <row r="22" ht="13.5" customHeight="1">
      <c r="A22" s="1"/>
      <c r="C22" s="1" t="s">
        <v>54</v>
      </c>
      <c r="D22" s="52">
        <f>SUM(D16:D21)</f>
        <v>1783313</v>
      </c>
      <c r="E22" s="40"/>
      <c r="F22" s="53">
        <v>1.0</v>
      </c>
      <c r="G22" s="52">
        <f>$D22*F22</f>
        <v>1783313</v>
      </c>
      <c r="H22" s="1"/>
      <c r="I22" s="1"/>
      <c r="J22" s="1"/>
      <c r="K22" s="1"/>
      <c r="M22" s="1"/>
    </row>
    <row r="23" ht="13.5" customHeight="1">
      <c r="A23" s="1"/>
      <c r="C23" s="1"/>
      <c r="D23" s="31"/>
      <c r="E23" s="31"/>
      <c r="F23" s="31"/>
      <c r="G23" s="1"/>
      <c r="H23" s="1"/>
      <c r="I23" s="1"/>
      <c r="J23" s="1"/>
      <c r="K23" s="1"/>
      <c r="M23" s="1"/>
    </row>
    <row r="24" ht="13.5" customHeight="1">
      <c r="A24" s="1"/>
      <c r="C24" s="1"/>
      <c r="D24" s="31"/>
      <c r="E24" s="31"/>
      <c r="F24" s="31"/>
      <c r="G24" s="1"/>
      <c r="H24" s="1"/>
      <c r="I24" s="1"/>
      <c r="J24" s="1"/>
      <c r="K24" s="1"/>
      <c r="M24" s="1"/>
    </row>
    <row r="25">
      <c r="A25" s="1"/>
      <c r="B25" s="32" t="s">
        <v>68</v>
      </c>
      <c r="C25" s="1" t="s">
        <v>50</v>
      </c>
      <c r="D25" s="31"/>
      <c r="E25" s="31"/>
      <c r="F25" s="31"/>
      <c r="G25" s="1"/>
      <c r="H25" s="1"/>
      <c r="I25" s="1"/>
      <c r="J25" s="1"/>
      <c r="K25" s="1"/>
      <c r="M25" s="1"/>
    </row>
    <row r="26">
      <c r="A26" s="1"/>
      <c r="B26" s="32"/>
      <c r="C26" s="1"/>
      <c r="D26" s="31"/>
      <c r="E26" s="31"/>
      <c r="F26" s="31"/>
      <c r="G26" s="1"/>
      <c r="H26" s="1"/>
      <c r="I26" s="1"/>
      <c r="J26" s="1"/>
      <c r="K26" s="1"/>
      <c r="M26" s="1"/>
    </row>
    <row r="27" ht="13.5" customHeight="1">
      <c r="A27" s="1"/>
      <c r="C27" s="1"/>
      <c r="D27" s="35" t="s">
        <v>54</v>
      </c>
      <c r="E27" s="35"/>
      <c r="F27" s="32" t="s">
        <v>58</v>
      </c>
      <c r="H27" s="32"/>
      <c r="I27" s="32" t="s">
        <v>69</v>
      </c>
      <c r="K27" s="1"/>
      <c r="M27" s="1"/>
    </row>
    <row r="28" ht="13.5" customHeight="1">
      <c r="A28" s="1"/>
      <c r="C28" s="1"/>
      <c r="D28" s="36" t="s">
        <v>59</v>
      </c>
      <c r="E28" s="35"/>
      <c r="F28" s="36" t="s">
        <v>60</v>
      </c>
      <c r="G28" s="37" t="s">
        <v>59</v>
      </c>
      <c r="H28" s="1"/>
      <c r="I28" s="36" t="s">
        <v>60</v>
      </c>
      <c r="J28" s="37" t="s">
        <v>59</v>
      </c>
      <c r="K28" s="1"/>
      <c r="M28" s="1"/>
    </row>
    <row r="29" ht="13.5" customHeight="1">
      <c r="A29" s="1"/>
      <c r="C29" s="1"/>
      <c r="D29" s="35"/>
      <c r="E29" s="35"/>
      <c r="F29" s="35"/>
      <c r="G29" s="32"/>
      <c r="H29" s="1"/>
      <c r="I29" s="35"/>
      <c r="J29" s="32"/>
      <c r="K29" s="1"/>
      <c r="M29" s="1"/>
    </row>
    <row r="30" ht="13.5" customHeight="1">
      <c r="A30" s="1"/>
      <c r="C30" s="51" t="s">
        <v>70</v>
      </c>
      <c r="D30" s="39">
        <v>0.0</v>
      </c>
      <c r="E30" s="54"/>
      <c r="F30" s="55">
        <v>0.0</v>
      </c>
      <c r="G30" s="39">
        <f>$D30*F30</f>
        <v>0</v>
      </c>
      <c r="H30" s="54"/>
      <c r="I30" s="55">
        <v>0.0</v>
      </c>
      <c r="J30" s="39">
        <f>$D30*I30</f>
        <v>0</v>
      </c>
      <c r="K30" s="1"/>
      <c r="M30" s="1"/>
    </row>
    <row r="31" ht="13.5" customHeight="1">
      <c r="A31" s="1"/>
      <c r="C31" s="51"/>
      <c r="D31" s="39"/>
      <c r="E31" s="54"/>
      <c r="F31" s="55"/>
      <c r="G31" s="39"/>
      <c r="H31" s="54"/>
      <c r="I31" s="55"/>
      <c r="J31" s="39"/>
      <c r="K31" s="1"/>
      <c r="M31" s="1"/>
    </row>
    <row r="32" ht="13.5" customHeight="1">
      <c r="A32" s="1"/>
      <c r="C32" s="51" t="s">
        <v>71</v>
      </c>
      <c r="D32" s="39">
        <v>0.0</v>
      </c>
      <c r="E32" s="54"/>
      <c r="F32" s="55">
        <v>0.0</v>
      </c>
      <c r="G32" s="39">
        <f>$D32*F32</f>
        <v>0</v>
      </c>
      <c r="H32" s="54"/>
      <c r="I32" s="55">
        <v>0.0</v>
      </c>
      <c r="J32" s="39">
        <f>$D32*I32</f>
        <v>0</v>
      </c>
      <c r="K32" s="1"/>
      <c r="M32" s="1"/>
    </row>
    <row r="33" ht="13.5" customHeight="1">
      <c r="A33" s="1"/>
      <c r="C33" s="51"/>
      <c r="D33" s="39"/>
      <c r="E33" s="54"/>
      <c r="F33" s="55"/>
      <c r="G33" s="39"/>
      <c r="H33" s="54"/>
      <c r="I33" s="55"/>
      <c r="J33" s="39"/>
      <c r="K33" s="1"/>
      <c r="M33" s="1"/>
    </row>
    <row r="34" ht="13.5" customHeight="1">
      <c r="A34" s="1"/>
      <c r="C34" s="51" t="s">
        <v>72</v>
      </c>
      <c r="D34" s="39">
        <v>0.0</v>
      </c>
      <c r="E34" s="54"/>
      <c r="F34" s="55">
        <v>0.0</v>
      </c>
      <c r="G34" s="39">
        <f>$D34*F34</f>
        <v>0</v>
      </c>
      <c r="H34" s="54"/>
      <c r="I34" s="55">
        <v>0.0</v>
      </c>
      <c r="J34" s="39">
        <f>$D34*I34</f>
        <v>0</v>
      </c>
      <c r="K34" s="1"/>
      <c r="M34" s="1"/>
    </row>
    <row r="35" ht="13.5" customHeight="1">
      <c r="A35" s="1"/>
      <c r="C35" s="1"/>
      <c r="D35" s="42"/>
      <c r="E35" s="40"/>
      <c r="F35" s="41"/>
      <c r="G35" s="42"/>
      <c r="H35" s="40"/>
      <c r="I35" s="41"/>
      <c r="J35" s="42"/>
      <c r="K35" s="1"/>
      <c r="M35" s="1"/>
    </row>
    <row r="36" ht="13.5" customHeight="1">
      <c r="A36" s="1"/>
      <c r="C36" s="1" t="s">
        <v>54</v>
      </c>
      <c r="D36" s="52">
        <f>SUM(D30:D35)</f>
        <v>0</v>
      </c>
      <c r="E36" s="40"/>
      <c r="F36" s="53">
        <v>1.0</v>
      </c>
      <c r="G36" s="52">
        <f>$D36*F36</f>
        <v>0</v>
      </c>
      <c r="H36" s="40"/>
      <c r="I36" s="53">
        <v>0.0</v>
      </c>
      <c r="J36" s="52">
        <f>$D36*I36</f>
        <v>0</v>
      </c>
      <c r="K36" s="1"/>
      <c r="M36" s="1"/>
    </row>
    <row r="37" ht="13.5" customHeight="1">
      <c r="A37" s="1"/>
      <c r="B37" s="32"/>
      <c r="C37" s="1"/>
      <c r="D37" s="31"/>
      <c r="E37" s="31"/>
      <c r="F37" s="31"/>
      <c r="G37" s="1"/>
      <c r="H37" s="1"/>
      <c r="I37" s="1"/>
      <c r="J37" s="1"/>
      <c r="K37" s="1"/>
      <c r="M37" s="1"/>
    </row>
    <row r="38" ht="13.5" customHeight="1">
      <c r="A38" s="1"/>
      <c r="B38" s="32" t="s">
        <v>73</v>
      </c>
      <c r="C38" s="1" t="s">
        <v>51</v>
      </c>
      <c r="D38" s="31"/>
      <c r="E38" s="31"/>
      <c r="F38" s="31"/>
      <c r="G38" s="1"/>
      <c r="H38" s="1"/>
      <c r="I38" s="1"/>
      <c r="J38" s="1"/>
      <c r="K38" s="1"/>
      <c r="M38" s="1"/>
    </row>
    <row r="39">
      <c r="A39" s="1"/>
      <c r="B39" s="32"/>
      <c r="C39" s="1"/>
      <c r="D39" s="31"/>
      <c r="E39" s="31"/>
      <c r="F39" s="31"/>
      <c r="G39" s="1"/>
      <c r="H39" s="1"/>
      <c r="I39" s="1"/>
      <c r="J39" s="1"/>
      <c r="K39" s="1"/>
      <c r="M39" s="1"/>
    </row>
    <row r="40" ht="13.5" customHeight="1">
      <c r="A40" s="1"/>
      <c r="C40" s="1"/>
      <c r="D40" s="35" t="s">
        <v>54</v>
      </c>
      <c r="E40" s="35"/>
      <c r="F40" s="32" t="s">
        <v>58</v>
      </c>
      <c r="H40" s="32"/>
      <c r="I40" s="32" t="s">
        <v>69</v>
      </c>
      <c r="K40" s="1"/>
      <c r="M40" s="1"/>
    </row>
    <row r="41" ht="13.5" customHeight="1">
      <c r="A41" s="1"/>
      <c r="C41" s="1"/>
      <c r="D41" s="36" t="s">
        <v>59</v>
      </c>
      <c r="E41" s="35"/>
      <c r="F41" s="36" t="s">
        <v>60</v>
      </c>
      <c r="G41" s="37" t="s">
        <v>59</v>
      </c>
      <c r="H41" s="1"/>
      <c r="I41" s="36" t="s">
        <v>60</v>
      </c>
      <c r="J41" s="37" t="s">
        <v>59</v>
      </c>
      <c r="K41" s="1"/>
      <c r="M41" s="1"/>
    </row>
    <row r="42" ht="13.5" customHeight="1">
      <c r="A42" s="1"/>
      <c r="C42" s="1"/>
      <c r="D42" s="35"/>
      <c r="E42" s="35"/>
      <c r="F42" s="35"/>
      <c r="G42" s="32"/>
      <c r="H42" s="1"/>
      <c r="I42" s="35"/>
      <c r="J42" s="32"/>
      <c r="K42" s="1"/>
      <c r="M42" s="1"/>
    </row>
    <row r="43" ht="13.5" customHeight="1">
      <c r="A43" s="1"/>
      <c r="C43" s="51" t="s">
        <v>70</v>
      </c>
      <c r="D43" s="39">
        <v>0.0</v>
      </c>
      <c r="E43" s="54"/>
      <c r="F43" s="55">
        <v>0.0</v>
      </c>
      <c r="G43" s="39">
        <f>$D43*F43</f>
        <v>0</v>
      </c>
      <c r="H43" s="54"/>
      <c r="I43" s="55">
        <v>0.0</v>
      </c>
      <c r="J43" s="39">
        <f>$D43*I43</f>
        <v>0</v>
      </c>
      <c r="K43" s="1"/>
      <c r="M43" s="1"/>
    </row>
    <row r="44" ht="13.5" customHeight="1">
      <c r="A44" s="1"/>
      <c r="C44" s="51"/>
      <c r="D44" s="39"/>
      <c r="E44" s="54"/>
      <c r="F44" s="55"/>
      <c r="G44" s="39"/>
      <c r="H44" s="54"/>
      <c r="I44" s="55"/>
      <c r="J44" s="39"/>
      <c r="K44" s="1"/>
      <c r="M44" s="1"/>
    </row>
    <row r="45" ht="13.5" customHeight="1">
      <c r="A45" s="1"/>
      <c r="C45" s="51" t="s">
        <v>71</v>
      </c>
      <c r="D45" s="39">
        <v>0.0</v>
      </c>
      <c r="E45" s="54"/>
      <c r="F45" s="55">
        <v>0.0</v>
      </c>
      <c r="G45" s="39">
        <f>$D45*F45</f>
        <v>0</v>
      </c>
      <c r="H45" s="54"/>
      <c r="I45" s="55">
        <v>0.0</v>
      </c>
      <c r="J45" s="39">
        <f>$D45*I45</f>
        <v>0</v>
      </c>
      <c r="K45" s="1"/>
      <c r="M45" s="1"/>
    </row>
    <row r="46" ht="13.5" customHeight="1">
      <c r="A46" s="1"/>
      <c r="C46" s="51"/>
      <c r="D46" s="39"/>
      <c r="E46" s="54"/>
      <c r="F46" s="55"/>
      <c r="G46" s="39"/>
      <c r="H46" s="54"/>
      <c r="I46" s="55"/>
      <c r="J46" s="39"/>
      <c r="K46" s="1"/>
      <c r="M46" s="1"/>
    </row>
    <row r="47" ht="13.5" customHeight="1">
      <c r="A47" s="1"/>
      <c r="C47" s="51" t="s">
        <v>72</v>
      </c>
      <c r="D47" s="39">
        <v>0.0</v>
      </c>
      <c r="E47" s="54"/>
      <c r="F47" s="55">
        <v>0.0</v>
      </c>
      <c r="G47" s="39">
        <f>$D47*F47</f>
        <v>0</v>
      </c>
      <c r="H47" s="54"/>
      <c r="I47" s="55">
        <v>0.0</v>
      </c>
      <c r="J47" s="39">
        <f>$D47*I47</f>
        <v>0</v>
      </c>
      <c r="K47" s="1"/>
      <c r="M47" s="1"/>
    </row>
    <row r="48" ht="13.5" customHeight="1">
      <c r="A48" s="1"/>
      <c r="C48" s="1"/>
      <c r="D48" s="42"/>
      <c r="E48" s="40"/>
      <c r="F48" s="41"/>
      <c r="G48" s="42"/>
      <c r="H48" s="40"/>
      <c r="I48" s="41"/>
      <c r="J48" s="42"/>
      <c r="K48" s="1"/>
      <c r="M48" s="1"/>
    </row>
    <row r="49" ht="13.5" customHeight="1">
      <c r="A49" s="1"/>
      <c r="C49" s="1" t="s">
        <v>54</v>
      </c>
      <c r="D49" s="52">
        <f>SUM(D43:D48)</f>
        <v>0</v>
      </c>
      <c r="E49" s="40"/>
      <c r="F49" s="53">
        <v>1.0</v>
      </c>
      <c r="G49" s="52">
        <f>$D49*F49</f>
        <v>0</v>
      </c>
      <c r="H49" s="40"/>
      <c r="I49" s="53">
        <v>0.0</v>
      </c>
      <c r="J49" s="52">
        <f>$D49*I49</f>
        <v>0</v>
      </c>
      <c r="K49" s="1"/>
      <c r="M49" s="1"/>
    </row>
    <row r="50" ht="13.5" customHeight="1">
      <c r="A50" s="1"/>
      <c r="B50" s="32"/>
      <c r="C50" s="1"/>
      <c r="D50" s="31"/>
      <c r="E50" s="31"/>
      <c r="F50" s="31"/>
      <c r="G50" s="1"/>
      <c r="H50" s="1"/>
      <c r="I50" s="1"/>
      <c r="J50" s="1"/>
      <c r="K50" s="1"/>
      <c r="M50" s="1"/>
    </row>
    <row r="51" ht="13.5" customHeight="1">
      <c r="A51" s="1"/>
      <c r="B51" s="32" t="s">
        <v>74</v>
      </c>
      <c r="C51" s="1" t="s">
        <v>52</v>
      </c>
      <c r="D51" s="31"/>
      <c r="E51" s="31"/>
      <c r="F51" s="31"/>
      <c r="G51" s="1"/>
      <c r="H51" s="1"/>
      <c r="I51" s="1"/>
      <c r="J51" s="1"/>
      <c r="K51" s="1"/>
      <c r="M51" s="1"/>
    </row>
    <row r="52" ht="13.5" customHeight="1">
      <c r="A52" s="1"/>
      <c r="B52" s="32"/>
      <c r="C52" s="1"/>
      <c r="D52" s="31"/>
      <c r="E52" s="31"/>
      <c r="F52" s="31"/>
      <c r="G52" s="1"/>
      <c r="H52" s="1"/>
      <c r="I52" s="1"/>
      <c r="J52" s="1"/>
      <c r="K52" s="1"/>
      <c r="M52" s="1"/>
    </row>
    <row r="53" ht="13.5" customHeight="1">
      <c r="A53" s="1"/>
      <c r="C53" s="1"/>
      <c r="D53" s="35" t="s">
        <v>54</v>
      </c>
      <c r="E53" s="35"/>
      <c r="F53" s="32" t="s">
        <v>58</v>
      </c>
      <c r="H53" s="32"/>
      <c r="I53" s="32" t="s">
        <v>69</v>
      </c>
      <c r="K53" s="1"/>
      <c r="M53" s="1"/>
    </row>
    <row r="54" ht="13.5" customHeight="1">
      <c r="A54" s="1"/>
      <c r="C54" s="1"/>
      <c r="D54" s="36" t="s">
        <v>59</v>
      </c>
      <c r="E54" s="35"/>
      <c r="F54" s="36" t="s">
        <v>60</v>
      </c>
      <c r="G54" s="37" t="s">
        <v>59</v>
      </c>
      <c r="H54" s="1"/>
      <c r="I54" s="36" t="s">
        <v>60</v>
      </c>
      <c r="J54" s="37" t="s">
        <v>59</v>
      </c>
      <c r="K54" s="1"/>
      <c r="M54" s="1"/>
    </row>
    <row r="55" ht="13.5" customHeight="1">
      <c r="A55" s="1"/>
      <c r="C55" s="1"/>
      <c r="D55" s="35"/>
      <c r="E55" s="35"/>
      <c r="F55" s="35"/>
      <c r="G55" s="32"/>
      <c r="H55" s="1"/>
      <c r="I55" s="35"/>
      <c r="J55" s="32"/>
      <c r="K55" s="1"/>
      <c r="M55" s="1"/>
    </row>
    <row r="56" ht="13.5" customHeight="1">
      <c r="A56" s="1"/>
      <c r="C56" s="51" t="s">
        <v>70</v>
      </c>
      <c r="D56" s="39">
        <v>0.0</v>
      </c>
      <c r="E56" s="54"/>
      <c r="F56" s="55">
        <v>0.0</v>
      </c>
      <c r="G56" s="39">
        <f>$D56*F56</f>
        <v>0</v>
      </c>
      <c r="H56" s="54"/>
      <c r="I56" s="55">
        <v>0.0</v>
      </c>
      <c r="J56" s="39">
        <f>$D56*I56</f>
        <v>0</v>
      </c>
      <c r="K56" s="1"/>
      <c r="M56" s="1"/>
    </row>
    <row r="57" ht="13.5" customHeight="1">
      <c r="A57" s="1"/>
      <c r="C57" s="51"/>
      <c r="D57" s="39"/>
      <c r="E57" s="54"/>
      <c r="F57" s="55"/>
      <c r="G57" s="39"/>
      <c r="H57" s="54"/>
      <c r="I57" s="55"/>
      <c r="J57" s="39"/>
      <c r="K57" s="1"/>
      <c r="M57" s="1"/>
    </row>
    <row r="58" ht="13.5" customHeight="1">
      <c r="A58" s="1"/>
      <c r="C58" s="51" t="s">
        <v>71</v>
      </c>
      <c r="D58" s="39">
        <v>0.0</v>
      </c>
      <c r="E58" s="54"/>
      <c r="F58" s="55">
        <v>0.0</v>
      </c>
      <c r="G58" s="39">
        <f>$D58*F58</f>
        <v>0</v>
      </c>
      <c r="H58" s="54"/>
      <c r="I58" s="55">
        <v>0.0</v>
      </c>
      <c r="J58" s="39">
        <f>$D58*I58</f>
        <v>0</v>
      </c>
      <c r="K58" s="1"/>
      <c r="M58" s="1"/>
    </row>
    <row r="59" ht="13.5" customHeight="1">
      <c r="A59" s="1"/>
      <c r="C59" s="51"/>
      <c r="D59" s="39"/>
      <c r="E59" s="54"/>
      <c r="F59" s="55"/>
      <c r="G59" s="39"/>
      <c r="H59" s="54"/>
      <c r="I59" s="55"/>
      <c r="J59" s="39"/>
      <c r="K59" s="1"/>
      <c r="M59" s="1"/>
    </row>
    <row r="60" ht="13.5" customHeight="1">
      <c r="A60" s="1"/>
      <c r="C60" s="51" t="s">
        <v>72</v>
      </c>
      <c r="D60" s="39">
        <v>0.0</v>
      </c>
      <c r="E60" s="54"/>
      <c r="F60" s="55">
        <v>0.0</v>
      </c>
      <c r="G60" s="39">
        <f>$D60*F60</f>
        <v>0</v>
      </c>
      <c r="H60" s="54"/>
      <c r="I60" s="55">
        <v>0.0</v>
      </c>
      <c r="J60" s="39">
        <f>$D60*I60</f>
        <v>0</v>
      </c>
      <c r="K60" s="1"/>
      <c r="M60" s="1"/>
    </row>
    <row r="61" ht="13.5" customHeight="1">
      <c r="A61" s="1"/>
      <c r="C61" s="1"/>
      <c r="D61" s="42"/>
      <c r="E61" s="40"/>
      <c r="F61" s="41"/>
      <c r="G61" s="42"/>
      <c r="H61" s="40"/>
      <c r="I61" s="41"/>
      <c r="J61" s="42"/>
      <c r="K61" s="1"/>
      <c r="M61" s="1"/>
    </row>
    <row r="62" ht="13.5" customHeight="1">
      <c r="A62" s="1"/>
      <c r="C62" s="1" t="s">
        <v>54</v>
      </c>
      <c r="D62" s="52">
        <f>SUM(D56:D61)</f>
        <v>0</v>
      </c>
      <c r="E62" s="40"/>
      <c r="F62" s="53">
        <v>1.0</v>
      </c>
      <c r="G62" s="52">
        <f>$D62*F62</f>
        <v>0</v>
      </c>
      <c r="H62" s="40"/>
      <c r="I62" s="53">
        <v>0.0</v>
      </c>
      <c r="J62" s="52">
        <f>$D62*I62</f>
        <v>0</v>
      </c>
      <c r="K62" s="1"/>
      <c r="M62" s="1"/>
    </row>
    <row r="63" ht="13.5" customHeight="1">
      <c r="A63" s="1"/>
      <c r="B63" s="32"/>
      <c r="C63" s="1"/>
      <c r="D63" s="31"/>
      <c r="E63" s="31"/>
      <c r="F63" s="31"/>
      <c r="G63" s="1"/>
      <c r="H63" s="1"/>
      <c r="I63" s="1"/>
      <c r="J63" s="1"/>
      <c r="K63" s="1"/>
      <c r="M63" s="1"/>
    </row>
    <row r="64" ht="13.5" customHeight="1">
      <c r="A64" s="1"/>
      <c r="B64" s="32" t="s">
        <v>75</v>
      </c>
      <c r="C64" s="1" t="s">
        <v>53</v>
      </c>
      <c r="D64" s="31"/>
      <c r="E64" s="31"/>
      <c r="F64" s="31"/>
      <c r="G64" s="1"/>
      <c r="H64" s="1"/>
      <c r="I64" s="1"/>
      <c r="J64" s="1"/>
      <c r="K64" s="1"/>
      <c r="M64" s="1"/>
    </row>
    <row r="65" ht="13.5" customHeight="1">
      <c r="A65" s="1"/>
      <c r="B65" s="32"/>
      <c r="C65" s="1"/>
      <c r="D65" s="31"/>
      <c r="E65" s="31"/>
      <c r="F65" s="31"/>
      <c r="G65" s="1"/>
      <c r="H65" s="1"/>
      <c r="I65" s="1"/>
      <c r="J65" s="1"/>
      <c r="K65" s="1"/>
      <c r="M65" s="1"/>
    </row>
    <row r="66" ht="13.5" customHeight="1">
      <c r="A66" s="1"/>
      <c r="C66" s="1"/>
      <c r="D66" s="35" t="s">
        <v>54</v>
      </c>
      <c r="E66" s="35"/>
      <c r="F66" s="32" t="s">
        <v>76</v>
      </c>
      <c r="H66" s="32"/>
      <c r="I66" s="1"/>
      <c r="J66" s="1"/>
      <c r="K66" s="1"/>
      <c r="M66" s="1"/>
    </row>
    <row r="67" ht="13.5" customHeight="1">
      <c r="A67" s="1"/>
      <c r="C67" s="1"/>
      <c r="D67" s="36" t="s">
        <v>59</v>
      </c>
      <c r="E67" s="35"/>
      <c r="F67" s="36" t="s">
        <v>60</v>
      </c>
      <c r="G67" s="37" t="s">
        <v>59</v>
      </c>
      <c r="H67" s="1"/>
      <c r="I67" s="1"/>
      <c r="J67" s="1"/>
      <c r="K67" s="1"/>
      <c r="M67" s="1"/>
    </row>
    <row r="68" ht="13.5" customHeight="1">
      <c r="A68" s="1"/>
      <c r="C68" s="1"/>
      <c r="D68" s="35"/>
      <c r="E68" s="35"/>
      <c r="F68" s="35"/>
      <c r="G68" s="32"/>
      <c r="H68" s="1"/>
      <c r="I68" s="1"/>
      <c r="J68" s="1"/>
      <c r="K68" s="1"/>
      <c r="M68" s="1"/>
    </row>
    <row r="69" ht="13.5" customHeight="1">
      <c r="A69" s="1"/>
      <c r="C69" s="51" t="s">
        <v>70</v>
      </c>
      <c r="D69" s="39">
        <v>0.0</v>
      </c>
      <c r="E69" s="54"/>
      <c r="F69" s="55">
        <v>1.0</v>
      </c>
      <c r="G69" s="39">
        <f>$D69*F69</f>
        <v>0</v>
      </c>
      <c r="H69" s="40"/>
      <c r="I69" s="1"/>
      <c r="J69" s="1"/>
      <c r="K69" s="1"/>
      <c r="M69" s="1"/>
    </row>
    <row r="70" ht="13.5" customHeight="1">
      <c r="A70" s="1"/>
      <c r="C70" s="51"/>
      <c r="D70" s="39"/>
      <c r="E70" s="54"/>
      <c r="F70" s="55"/>
      <c r="G70" s="39"/>
      <c r="H70" s="40"/>
      <c r="I70" s="1"/>
      <c r="J70" s="1"/>
      <c r="K70" s="1"/>
      <c r="M70" s="1"/>
    </row>
    <row r="71" ht="13.5" customHeight="1">
      <c r="A71" s="1"/>
      <c r="C71" s="51" t="s">
        <v>71</v>
      </c>
      <c r="D71" s="39">
        <v>0.0</v>
      </c>
      <c r="E71" s="54"/>
      <c r="F71" s="55">
        <v>1.0</v>
      </c>
      <c r="G71" s="39">
        <f>$D71*F71</f>
        <v>0</v>
      </c>
      <c r="H71" s="40"/>
      <c r="I71" s="1"/>
      <c r="J71" s="1"/>
      <c r="K71" s="1"/>
      <c r="M71" s="1"/>
    </row>
    <row r="72" ht="13.5" customHeight="1">
      <c r="A72" s="1"/>
      <c r="C72" s="51"/>
      <c r="D72" s="39"/>
      <c r="E72" s="54"/>
      <c r="F72" s="55"/>
      <c r="G72" s="39"/>
      <c r="H72" s="40"/>
      <c r="I72" s="1"/>
      <c r="J72" s="1"/>
      <c r="K72" s="1"/>
      <c r="M72" s="1"/>
    </row>
    <row r="73" ht="13.5" customHeight="1">
      <c r="A73" s="1"/>
      <c r="C73" s="51" t="s">
        <v>72</v>
      </c>
      <c r="D73" s="39">
        <v>0.0</v>
      </c>
      <c r="E73" s="54"/>
      <c r="F73" s="55">
        <v>1.0</v>
      </c>
      <c r="G73" s="39">
        <f>$D73*F73</f>
        <v>0</v>
      </c>
      <c r="H73" s="40"/>
      <c r="I73" s="1"/>
      <c r="J73" s="1"/>
      <c r="K73" s="1"/>
      <c r="M73" s="1"/>
    </row>
    <row r="74" ht="13.5" customHeight="1">
      <c r="A74" s="1"/>
      <c r="C74" s="1"/>
      <c r="D74" s="42"/>
      <c r="E74" s="40"/>
      <c r="F74" s="41"/>
      <c r="G74" s="42"/>
      <c r="H74" s="40"/>
      <c r="I74" s="1"/>
      <c r="J74" s="1"/>
      <c r="K74" s="1"/>
      <c r="M74" s="1"/>
    </row>
    <row r="75" ht="13.5" customHeight="1">
      <c r="A75" s="1"/>
      <c r="C75" s="1" t="s">
        <v>54</v>
      </c>
      <c r="D75" s="52">
        <f>SUM(D69:D74)</f>
        <v>0</v>
      </c>
      <c r="E75" s="40"/>
      <c r="F75" s="53">
        <v>1.0</v>
      </c>
      <c r="G75" s="52">
        <f>$D75*F75</f>
        <v>0</v>
      </c>
      <c r="H75" s="40"/>
      <c r="I75" s="1"/>
      <c r="J75" s="1"/>
      <c r="K75" s="1"/>
      <c r="M75" s="1"/>
    </row>
    <row r="76" ht="13.5" customHeight="1">
      <c r="A76" s="1"/>
      <c r="B76" s="32"/>
      <c r="C76" s="1"/>
      <c r="D76" s="31"/>
      <c r="E76" s="31"/>
      <c r="F76" s="31"/>
      <c r="G76" s="1"/>
      <c r="H76" s="1"/>
      <c r="I76" s="1"/>
      <c r="J76" s="1"/>
      <c r="K76" s="1"/>
      <c r="M76" s="1"/>
    </row>
    <row r="77" ht="13.5" customHeight="1">
      <c r="A77" s="1"/>
      <c r="B77" s="32" t="s">
        <v>77</v>
      </c>
      <c r="C77" s="1" t="s">
        <v>78</v>
      </c>
      <c r="D77" s="31"/>
      <c r="E77" s="31"/>
      <c r="F77" s="31"/>
      <c r="G77" s="1"/>
      <c r="H77" s="1"/>
      <c r="I77" s="1"/>
      <c r="J77" s="1"/>
      <c r="K77" s="1"/>
      <c r="M77" s="1"/>
    </row>
    <row r="78" ht="13.5" customHeight="1">
      <c r="A78" s="1"/>
      <c r="B78" s="32"/>
      <c r="C78" s="1"/>
      <c r="D78" s="31"/>
      <c r="E78" s="31"/>
      <c r="F78" s="31"/>
      <c r="G78" s="1"/>
      <c r="H78" s="1"/>
      <c r="I78" s="1"/>
      <c r="J78" s="1"/>
      <c r="K78" s="1"/>
      <c r="M78" s="1"/>
    </row>
    <row r="79" ht="13.5" customHeight="1">
      <c r="A79" s="1"/>
      <c r="C79" s="1"/>
      <c r="D79" s="35" t="s">
        <v>54</v>
      </c>
      <c r="E79" s="35"/>
      <c r="F79" s="32" t="s">
        <v>58</v>
      </c>
      <c r="H79" s="32"/>
      <c r="I79" s="32" t="s">
        <v>69</v>
      </c>
      <c r="K79" s="1"/>
      <c r="M79" s="1"/>
    </row>
    <row r="80" ht="13.5" customHeight="1">
      <c r="A80" s="1"/>
      <c r="C80" s="1"/>
      <c r="D80" s="36" t="s">
        <v>59</v>
      </c>
      <c r="E80" s="35"/>
      <c r="F80" s="36" t="s">
        <v>60</v>
      </c>
      <c r="G80" s="37" t="s">
        <v>59</v>
      </c>
      <c r="H80" s="1"/>
      <c r="I80" s="36" t="s">
        <v>60</v>
      </c>
      <c r="J80" s="37" t="s">
        <v>59</v>
      </c>
      <c r="K80" s="1"/>
      <c r="M80" s="1"/>
    </row>
    <row r="81" ht="13.5" customHeight="1">
      <c r="A81" s="1"/>
      <c r="C81" s="1"/>
      <c r="D81" s="35"/>
      <c r="E81" s="35"/>
      <c r="F81" s="35"/>
      <c r="G81" s="32"/>
      <c r="H81" s="1"/>
      <c r="I81" s="35"/>
      <c r="J81" s="32"/>
      <c r="K81" s="1"/>
      <c r="M81" s="1"/>
    </row>
    <row r="82" ht="13.5" customHeight="1">
      <c r="A82" s="1"/>
      <c r="C82" s="51" t="s">
        <v>70</v>
      </c>
      <c r="D82" s="39">
        <v>0.0</v>
      </c>
      <c r="E82" s="54"/>
      <c r="F82" s="55">
        <v>0.0</v>
      </c>
      <c r="G82" s="39">
        <f>$D82*F82</f>
        <v>0</v>
      </c>
      <c r="H82" s="54"/>
      <c r="I82" s="55">
        <v>0.0</v>
      </c>
      <c r="J82" s="39">
        <f>$D82*I82</f>
        <v>0</v>
      </c>
      <c r="K82" s="1"/>
      <c r="M82" s="1"/>
    </row>
    <row r="83" ht="13.5" customHeight="1">
      <c r="A83" s="1"/>
      <c r="C83" s="51"/>
      <c r="D83" s="39"/>
      <c r="E83" s="54"/>
      <c r="F83" s="55"/>
      <c r="G83" s="39"/>
      <c r="H83" s="54"/>
      <c r="I83" s="55"/>
      <c r="J83" s="39"/>
      <c r="K83" s="1"/>
      <c r="M83" s="1"/>
    </row>
    <row r="84" ht="13.5" customHeight="1">
      <c r="A84" s="1"/>
      <c r="C84" s="51" t="s">
        <v>71</v>
      </c>
      <c r="D84" s="39">
        <v>0.0</v>
      </c>
      <c r="E84" s="54"/>
      <c r="F84" s="55">
        <v>0.0</v>
      </c>
      <c r="G84" s="39">
        <f>$D84*F84</f>
        <v>0</v>
      </c>
      <c r="H84" s="54"/>
      <c r="I84" s="55">
        <v>0.0</v>
      </c>
      <c r="J84" s="39">
        <f>$D84*I84</f>
        <v>0</v>
      </c>
      <c r="K84" s="1"/>
      <c r="M84" s="1"/>
    </row>
    <row r="85" ht="13.5" customHeight="1">
      <c r="A85" s="1"/>
      <c r="C85" s="51"/>
      <c r="D85" s="39"/>
      <c r="E85" s="54"/>
      <c r="F85" s="55"/>
      <c r="G85" s="39"/>
      <c r="H85" s="54"/>
      <c r="I85" s="55"/>
      <c r="J85" s="39"/>
      <c r="K85" s="1"/>
      <c r="M85" s="1"/>
    </row>
    <row r="86" ht="13.5" customHeight="1">
      <c r="A86" s="1"/>
      <c r="C86" s="51" t="s">
        <v>72</v>
      </c>
      <c r="D86" s="39">
        <v>0.0</v>
      </c>
      <c r="E86" s="54"/>
      <c r="F86" s="55">
        <v>0.0</v>
      </c>
      <c r="G86" s="39">
        <f>$D86*F86</f>
        <v>0</v>
      </c>
      <c r="H86" s="54"/>
      <c r="I86" s="55">
        <v>0.0</v>
      </c>
      <c r="J86" s="39">
        <f>$D86*I86</f>
        <v>0</v>
      </c>
      <c r="K86" s="1"/>
      <c r="M86" s="1"/>
    </row>
    <row r="87" ht="13.5" customHeight="1">
      <c r="A87" s="1"/>
      <c r="C87" s="1"/>
      <c r="D87" s="42"/>
      <c r="E87" s="40"/>
      <c r="F87" s="41"/>
      <c r="G87" s="42"/>
      <c r="H87" s="40"/>
      <c r="I87" s="41"/>
      <c r="J87" s="42"/>
      <c r="K87" s="1"/>
      <c r="M87" s="1"/>
    </row>
    <row r="88" ht="13.5" customHeight="1">
      <c r="A88" s="1"/>
      <c r="C88" s="1" t="s">
        <v>54</v>
      </c>
      <c r="D88" s="52">
        <f>SUM(D82:D87)</f>
        <v>0</v>
      </c>
      <c r="E88" s="40"/>
      <c r="F88" s="53">
        <v>1.0</v>
      </c>
      <c r="G88" s="52">
        <f>$D88*F88</f>
        <v>0</v>
      </c>
      <c r="H88" s="40"/>
      <c r="I88" s="53">
        <v>0.0</v>
      </c>
      <c r="J88" s="52">
        <f>$D88*I88</f>
        <v>0</v>
      </c>
      <c r="K88" s="1"/>
      <c r="M88" s="1"/>
    </row>
  </sheetData>
  <mergeCells count="11">
    <mergeCell ref="F53:G53"/>
    <mergeCell ref="F66:G66"/>
    <mergeCell ref="F79:G79"/>
    <mergeCell ref="I79:J79"/>
    <mergeCell ref="C7:J8"/>
    <mergeCell ref="F10:G10"/>
    <mergeCell ref="F27:G27"/>
    <mergeCell ref="I27:J27"/>
    <mergeCell ref="F40:G40"/>
    <mergeCell ref="I40:J40"/>
    <mergeCell ref="I53:J5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.71"/>
    <col customWidth="1" min="2" max="2" width="24.43"/>
    <col customWidth="1" min="3" max="5" width="8.29"/>
    <col customWidth="1" min="6" max="6" width="7.71"/>
    <col customWidth="1" min="7" max="14" width="8.29"/>
    <col customWidth="1" min="15" max="15" width="7.0"/>
    <col customWidth="1" min="16" max="18" width="8.29"/>
    <col customWidth="1" min="19" max="20" width="7.71"/>
    <col customWidth="1" min="21" max="30" width="8.29"/>
    <col customWidth="1" min="31" max="31" width="7.71"/>
    <col customWidth="1" min="32" max="32" width="8.29"/>
    <col customWidth="1" min="33" max="33" width="8.86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3.5" customHeight="1">
      <c r="A2" s="1"/>
      <c r="B2" s="56" t="s">
        <v>79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25.5" customHeight="1">
      <c r="A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3.5" customHeight="1">
      <c r="A4" s="1"/>
      <c r="B4" s="5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8.0" customHeight="1">
      <c r="A5" s="1"/>
      <c r="B5" s="6" t="str">
        <f>'Model Summary'!B5</f>
        <v>REVISED DRAFT 2/26/15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3.5" customHeight="1">
      <c r="A7" s="1"/>
      <c r="B7" s="57" t="s">
        <v>80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49.5" customHeight="1">
      <c r="A8" s="1"/>
      <c r="B8" s="7" t="s">
        <v>81</v>
      </c>
      <c r="C8" s="58" t="s">
        <v>11</v>
      </c>
      <c r="D8" s="58" t="s">
        <v>12</v>
      </c>
      <c r="E8" s="58" t="s">
        <v>14</v>
      </c>
      <c r="F8" s="58" t="s">
        <v>16</v>
      </c>
      <c r="G8" s="58" t="s">
        <v>17</v>
      </c>
      <c r="H8" s="58" t="s">
        <v>18</v>
      </c>
      <c r="I8" s="58" t="s">
        <v>19</v>
      </c>
      <c r="J8" s="58" t="s">
        <v>20</v>
      </c>
      <c r="K8" s="58" t="s">
        <v>21</v>
      </c>
      <c r="L8" s="58" t="s">
        <v>22</v>
      </c>
      <c r="M8" s="58" t="s">
        <v>23</v>
      </c>
      <c r="N8" s="58" t="s">
        <v>24</v>
      </c>
      <c r="O8" s="58" t="s">
        <v>25</v>
      </c>
      <c r="P8" s="58" t="s">
        <v>26</v>
      </c>
      <c r="Q8" s="58" t="s">
        <v>27</v>
      </c>
      <c r="R8" s="58" t="s">
        <v>28</v>
      </c>
      <c r="S8" s="58" t="s">
        <v>29</v>
      </c>
      <c r="T8" s="58" t="s">
        <v>30</v>
      </c>
      <c r="U8" s="58" t="s">
        <v>31</v>
      </c>
      <c r="V8" s="58" t="s">
        <v>32</v>
      </c>
      <c r="W8" s="58" t="s">
        <v>33</v>
      </c>
      <c r="X8" s="58" t="s">
        <v>34</v>
      </c>
      <c r="Y8" s="58" t="s">
        <v>35</v>
      </c>
      <c r="Z8" s="58" t="s">
        <v>36</v>
      </c>
      <c r="AA8" s="58" t="s">
        <v>37</v>
      </c>
      <c r="AB8" s="58" t="s">
        <v>38</v>
      </c>
      <c r="AC8" s="58" t="s">
        <v>39</v>
      </c>
      <c r="AD8" s="58" t="s">
        <v>40</v>
      </c>
      <c r="AE8" s="58" t="s">
        <v>41</v>
      </c>
      <c r="AF8" s="58" t="s">
        <v>42</v>
      </c>
      <c r="AG8" s="59" t="s">
        <v>54</v>
      </c>
    </row>
    <row r="9" ht="13.5" customHeight="1">
      <c r="A9" s="2"/>
      <c r="B9" s="60" t="s">
        <v>82</v>
      </c>
      <c r="C9" s="61">
        <f>'Model Summary'!D64</f>
        <v>0.1566666672</v>
      </c>
      <c r="D9" s="61">
        <f>'Model Summary'!G64</f>
        <v>0</v>
      </c>
      <c r="E9" s="61">
        <f>'Model Summary'!J64</f>
        <v>0</v>
      </c>
      <c r="F9" s="61">
        <f>'Model Summary'!M64</f>
        <v>0</v>
      </c>
      <c r="G9" s="61">
        <f>'Model Summary'!P64</f>
        <v>0</v>
      </c>
      <c r="H9" s="61">
        <f>'Model Summary'!S64</f>
        <v>0</v>
      </c>
      <c r="I9" s="61">
        <f>'Model Summary'!V64</f>
        <v>0</v>
      </c>
      <c r="J9" s="61">
        <f>'Model Summary'!Y64</f>
        <v>0</v>
      </c>
      <c r="K9" s="61">
        <f>'Model Summary'!AB64</f>
        <v>0</v>
      </c>
      <c r="L9" s="61">
        <f>'Model Summary'!AE64</f>
        <v>0</v>
      </c>
      <c r="M9" s="61">
        <f>'Model Summary'!AH64</f>
        <v>0</v>
      </c>
      <c r="N9" s="61">
        <f>'Model Summary'!AK64</f>
        <v>0</v>
      </c>
      <c r="O9" s="61">
        <f>'Model Summary'!AN64</f>
        <v>0</v>
      </c>
      <c r="P9" s="61">
        <f>'Model Summary'!AQ64</f>
        <v>0</v>
      </c>
      <c r="Q9" s="61">
        <f>'Model Summary'!AT64</f>
        <v>0</v>
      </c>
      <c r="R9" s="61">
        <f>'Model Summary'!AW64</f>
        <v>0</v>
      </c>
      <c r="S9" s="61">
        <f>'Model Summary'!AZ64</f>
        <v>0</v>
      </c>
      <c r="T9" s="61">
        <f>'Model Summary'!BC64</f>
        <v>0</v>
      </c>
      <c r="U9" s="61">
        <f>'Model Summary'!BF64</f>
        <v>0</v>
      </c>
      <c r="V9" s="61">
        <f>'Model Summary'!BI64</f>
        <v>0</v>
      </c>
      <c r="W9" s="61">
        <f>'Model Summary'!BL64</f>
        <v>0</v>
      </c>
      <c r="X9" s="61">
        <f>'Model Summary'!BO64</f>
        <v>0</v>
      </c>
      <c r="Y9" s="61">
        <f>'Model Summary'!BR64</f>
        <v>0</v>
      </c>
      <c r="Z9" s="61">
        <f>'Model Summary'!BU64</f>
        <v>0</v>
      </c>
      <c r="AA9" s="61">
        <f>'Model Summary'!BX64</f>
        <v>0</v>
      </c>
      <c r="AB9" s="61">
        <f>'Model Summary'!CA64</f>
        <v>0</v>
      </c>
      <c r="AC9" s="61">
        <f>'Model Summary'!CD64</f>
        <v>0</v>
      </c>
      <c r="AD9" s="61">
        <f>'Model Summary'!CG64</f>
        <v>0</v>
      </c>
      <c r="AE9" s="61">
        <f>'Model Summary'!CJ64</f>
        <v>0</v>
      </c>
      <c r="AF9" s="61">
        <f>'Model Summary'!CM64</f>
        <v>0</v>
      </c>
      <c r="AG9" s="62">
        <f t="shared" ref="AG9:AG11" si="1">SUM(C9:AF9)</f>
        <v>0.1566666672</v>
      </c>
    </row>
    <row r="10" ht="13.5" customHeight="1">
      <c r="A10" s="2"/>
      <c r="B10" s="63" t="s">
        <v>83</v>
      </c>
      <c r="C10" s="64">
        <f>'Model Summary'!D65</f>
        <v>0</v>
      </c>
      <c r="D10" s="64">
        <f>'Model Summary'!G65</f>
        <v>-6867.777778</v>
      </c>
      <c r="E10" s="64">
        <f>'Model Summary'!J65</f>
        <v>-24783.9</v>
      </c>
      <c r="F10" s="64">
        <f>'Model Summary'!M65</f>
        <v>5848.754556</v>
      </c>
      <c r="G10" s="64">
        <f>'Model Summary'!P65</f>
        <v>23910.22076</v>
      </c>
      <c r="H10" s="64">
        <f>'Model Summary'!S65</f>
        <v>28559.95119</v>
      </c>
      <c r="I10" s="64">
        <f>'Model Summary'!V65</f>
        <v>18899.74321</v>
      </c>
      <c r="J10" s="64">
        <f>'Model Summary'!Y65</f>
        <v>54303.07186</v>
      </c>
      <c r="K10" s="64">
        <f>'Model Summary'!AB65</f>
        <v>73410.81059</v>
      </c>
      <c r="L10" s="64">
        <f>'Model Summary'!AE65</f>
        <v>62793.32007</v>
      </c>
      <c r="M10" s="64">
        <f>'Model Summary'!AH65</f>
        <v>106278.8845</v>
      </c>
      <c r="N10" s="64">
        <f>'Model Summary'!AK65</f>
        <v>117615.1393</v>
      </c>
      <c r="O10" s="64">
        <f>'Model Summary'!AN65</f>
        <v>120130.134</v>
      </c>
      <c r="P10" s="64">
        <f>'Model Summary'!AQ65</f>
        <v>148059.6697</v>
      </c>
      <c r="Q10" s="64">
        <f>'Model Summary'!AT65</f>
        <v>151874.219</v>
      </c>
      <c r="R10" s="64">
        <f>'Model Summary'!AW65</f>
        <v>142272.0646</v>
      </c>
      <c r="S10" s="64">
        <f>'Model Summary'!AZ65</f>
        <v>153171.959</v>
      </c>
      <c r="T10" s="64">
        <f>'Model Summary'!BC65</f>
        <v>134705.2714</v>
      </c>
      <c r="U10" s="64">
        <f>'Model Summary'!BF65</f>
        <v>132874.2539</v>
      </c>
      <c r="V10" s="64">
        <f>'Model Summary'!BI65</f>
        <v>109876.387</v>
      </c>
      <c r="W10" s="64">
        <f>'Model Summary'!BL65</f>
        <v>111428.0974</v>
      </c>
      <c r="X10" s="64">
        <f>'Model Summary'!BO65</f>
        <v>122754.4718</v>
      </c>
      <c r="Y10" s="64">
        <f>'Model Summary'!BR65</f>
        <v>93244.91793</v>
      </c>
      <c r="Z10" s="64">
        <f>'Model Summary'!BU65</f>
        <v>80441.39098</v>
      </c>
      <c r="AA10" s="64">
        <f>'Model Summary'!BX65</f>
        <v>81359.13034</v>
      </c>
      <c r="AB10" s="64">
        <f>'Model Summary'!CA65</f>
        <v>32473.18338</v>
      </c>
      <c r="AC10" s="64">
        <f>'Model Summary'!CD65</f>
        <v>-21629.34578</v>
      </c>
      <c r="AD10" s="64">
        <f>'Model Summary'!CG65</f>
        <v>-72264.72155</v>
      </c>
      <c r="AE10" s="64">
        <f>'Model Summary'!CJ65</f>
        <v>-123335.7466</v>
      </c>
      <c r="AF10" s="64">
        <f>'Model Summary'!CM65</f>
        <v>-179016.0849</v>
      </c>
      <c r="AG10" s="65">
        <f t="shared" si="1"/>
        <v>1678387.47</v>
      </c>
    </row>
    <row r="11" ht="13.5" customHeight="1">
      <c r="A11" s="1"/>
      <c r="B11" s="1" t="s">
        <v>84</v>
      </c>
      <c r="C11" s="61">
        <f t="shared" ref="C11:AF11" si="2">SUM(C9:C10)</f>
        <v>0.1566666672</v>
      </c>
      <c r="D11" s="61">
        <f t="shared" si="2"/>
        <v>-6867.777778</v>
      </c>
      <c r="E11" s="61">
        <f t="shared" si="2"/>
        <v>-24783.9</v>
      </c>
      <c r="F11" s="61">
        <f t="shared" si="2"/>
        <v>5848.754556</v>
      </c>
      <c r="G11" s="61">
        <f t="shared" si="2"/>
        <v>23910.22076</v>
      </c>
      <c r="H11" s="61">
        <f t="shared" si="2"/>
        <v>28559.95119</v>
      </c>
      <c r="I11" s="61">
        <f t="shared" si="2"/>
        <v>18899.74321</v>
      </c>
      <c r="J11" s="61">
        <f t="shared" si="2"/>
        <v>54303.07186</v>
      </c>
      <c r="K11" s="61">
        <f t="shared" si="2"/>
        <v>73410.81059</v>
      </c>
      <c r="L11" s="61">
        <f t="shared" si="2"/>
        <v>62793.32007</v>
      </c>
      <c r="M11" s="61">
        <f t="shared" si="2"/>
        <v>106278.8845</v>
      </c>
      <c r="N11" s="61">
        <f t="shared" si="2"/>
        <v>117615.1393</v>
      </c>
      <c r="O11" s="61">
        <f t="shared" si="2"/>
        <v>120130.134</v>
      </c>
      <c r="P11" s="61">
        <f t="shared" si="2"/>
        <v>148059.6697</v>
      </c>
      <c r="Q11" s="61">
        <f t="shared" si="2"/>
        <v>151874.219</v>
      </c>
      <c r="R11" s="61">
        <f t="shared" si="2"/>
        <v>142272.0646</v>
      </c>
      <c r="S11" s="61">
        <f t="shared" si="2"/>
        <v>153171.959</v>
      </c>
      <c r="T11" s="61">
        <f t="shared" si="2"/>
        <v>134705.2714</v>
      </c>
      <c r="U11" s="61">
        <f t="shared" si="2"/>
        <v>132874.2539</v>
      </c>
      <c r="V11" s="61">
        <f t="shared" si="2"/>
        <v>109876.387</v>
      </c>
      <c r="W11" s="61">
        <f t="shared" si="2"/>
        <v>111428.0974</v>
      </c>
      <c r="X11" s="61">
        <f t="shared" si="2"/>
        <v>122754.4718</v>
      </c>
      <c r="Y11" s="61">
        <f t="shared" si="2"/>
        <v>93244.91793</v>
      </c>
      <c r="Z11" s="61">
        <f t="shared" si="2"/>
        <v>80441.39098</v>
      </c>
      <c r="AA11" s="61">
        <f t="shared" si="2"/>
        <v>81359.13034</v>
      </c>
      <c r="AB11" s="61">
        <f t="shared" si="2"/>
        <v>32473.18338</v>
      </c>
      <c r="AC11" s="61">
        <f t="shared" si="2"/>
        <v>-21629.34578</v>
      </c>
      <c r="AD11" s="61">
        <f t="shared" si="2"/>
        <v>-72264.72155</v>
      </c>
      <c r="AE11" s="61">
        <f t="shared" si="2"/>
        <v>-123335.7466</v>
      </c>
      <c r="AF11" s="61">
        <f t="shared" si="2"/>
        <v>-179016.0849</v>
      </c>
      <c r="AG11" s="62">
        <f t="shared" si="1"/>
        <v>1678387.626</v>
      </c>
    </row>
    <row r="12" ht="13.5" customHeight="1">
      <c r="A12" s="1"/>
      <c r="B12" s="1"/>
      <c r="C12" s="66"/>
      <c r="D12" s="66"/>
      <c r="E12" s="66"/>
      <c r="F12" s="66"/>
      <c r="G12" s="66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</sheetData>
  <mergeCells count="1">
    <mergeCell ref="B2: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.71"/>
    <col customWidth="1" min="2" max="2" width="27.43"/>
    <col customWidth="1" min="3" max="11" width="8.29"/>
    <col customWidth="1" min="12" max="14" width="7.71"/>
    <col customWidth="1" min="15" max="38" width="8.29"/>
    <col customWidth="1" min="39" max="41" width="7.0"/>
    <col customWidth="1" min="42" max="42" width="8.29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13.5" customHeight="1">
      <c r="A2" s="1"/>
      <c r="B2" s="56" t="s">
        <v>85</v>
      </c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25.5" customHeight="1">
      <c r="A3" s="1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ht="13.5" customHeight="1">
      <c r="A4" s="1"/>
      <c r="B4" s="5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ht="18.0" customHeight="1">
      <c r="A5" s="1"/>
      <c r="B5" s="6" t="str">
        <f>'Model Summary'!B5</f>
        <v>REVISED DRAFT 2/26/15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ht="13.5" customHeight="1">
      <c r="A7" s="1"/>
      <c r="B7" s="57" t="s">
        <v>80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ht="49.5" customHeight="1">
      <c r="A8" s="1"/>
      <c r="B8" s="68" t="s">
        <v>86</v>
      </c>
      <c r="C8" s="58" t="s">
        <v>11</v>
      </c>
      <c r="D8" s="58" t="s">
        <v>12</v>
      </c>
      <c r="E8" s="58" t="s">
        <v>14</v>
      </c>
      <c r="F8" s="58" t="s">
        <v>16</v>
      </c>
      <c r="G8" s="58" t="s">
        <v>17</v>
      </c>
      <c r="H8" s="58" t="s">
        <v>18</v>
      </c>
      <c r="I8" s="58" t="s">
        <v>19</v>
      </c>
      <c r="J8" s="58" t="s">
        <v>20</v>
      </c>
      <c r="K8" s="58" t="s">
        <v>21</v>
      </c>
      <c r="L8" s="58" t="s">
        <v>22</v>
      </c>
      <c r="M8" s="58" t="s">
        <v>23</v>
      </c>
      <c r="N8" s="58" t="s">
        <v>24</v>
      </c>
      <c r="O8" s="58" t="s">
        <v>25</v>
      </c>
      <c r="P8" s="58" t="s">
        <v>26</v>
      </c>
      <c r="Q8" s="58" t="s">
        <v>27</v>
      </c>
      <c r="R8" s="58" t="s">
        <v>28</v>
      </c>
      <c r="S8" s="58" t="s">
        <v>29</v>
      </c>
      <c r="T8" s="58" t="s">
        <v>30</v>
      </c>
      <c r="U8" s="58" t="s">
        <v>31</v>
      </c>
      <c r="V8" s="58" t="s">
        <v>32</v>
      </c>
      <c r="W8" s="58" t="s">
        <v>33</v>
      </c>
      <c r="X8" s="58" t="s">
        <v>34</v>
      </c>
      <c r="Y8" s="58" t="s">
        <v>35</v>
      </c>
      <c r="Z8" s="58" t="s">
        <v>36</v>
      </c>
      <c r="AA8" s="58" t="s">
        <v>37</v>
      </c>
      <c r="AB8" s="58" t="s">
        <v>38</v>
      </c>
      <c r="AC8" s="58" t="s">
        <v>39</v>
      </c>
      <c r="AD8" s="58" t="s">
        <v>40</v>
      </c>
      <c r="AE8" s="58" t="s">
        <v>41</v>
      </c>
      <c r="AF8" s="58" t="s">
        <v>42</v>
      </c>
      <c r="AG8" s="1"/>
      <c r="AH8" s="1"/>
      <c r="AI8" s="1"/>
      <c r="AJ8" s="1"/>
      <c r="AK8" s="1"/>
      <c r="AL8" s="1"/>
      <c r="AM8" s="1"/>
      <c r="AN8" s="1"/>
      <c r="AO8" s="1"/>
      <c r="AP8" s="1"/>
    </row>
    <row r="9">
      <c r="A9" s="1"/>
      <c r="B9" s="2" t="s">
        <v>87</v>
      </c>
      <c r="C9" s="42">
        <f>-'Model Summary'!F9*'Fee Revenue'!E20*2</f>
        <v>77.68570164</v>
      </c>
      <c r="D9" s="42">
        <f>-'Model Summary'!I9*'Fee Revenue'!H20*2</f>
        <v>81.51703704</v>
      </c>
      <c r="E9" s="42">
        <f>-'Model Summary'!L9*'Fee Revenue'!K20*2</f>
        <v>101.4811827</v>
      </c>
      <c r="F9" s="42">
        <f>-'Model Summary'!O9*'Fee Revenue'!N20*2</f>
        <v>106.5945762</v>
      </c>
      <c r="G9" s="42">
        <f>-'Model Summary'!R9*'Fee Revenue'!Q20*2</f>
        <v>111.7079705</v>
      </c>
      <c r="H9" s="42">
        <f>-'Model Summary'!U9*'Fee Revenue'!T20*2</f>
        <v>116.1890666</v>
      </c>
      <c r="I9" s="42">
        <f>-'Model Summary'!X9*'Fee Revenue'!W20*2</f>
        <v>121.302459</v>
      </c>
      <c r="J9" s="42">
        <f>-'Model Summary'!AA9*'Fee Revenue'!Z20*2</f>
        <v>127.048157</v>
      </c>
      <c r="K9" s="42">
        <f>-'Model Summary'!AD9*'Fee Revenue'!AC20*2</f>
        <v>132.7980084</v>
      </c>
      <c r="L9" s="42">
        <f>-'Model Summary'!AG9*'Fee Revenue'!AF20*2</f>
        <v>138.5779164</v>
      </c>
      <c r="M9" s="42">
        <f>-'Model Summary'!AJ9*'Fee Revenue'!AI20*2</f>
        <v>145.5965306</v>
      </c>
      <c r="N9" s="42">
        <f>-'Model Summary'!AM9*'Fee Revenue'!AL20*2</f>
        <v>152.645219</v>
      </c>
      <c r="O9" s="42">
        <f>-'Model Summary'!AP9*'Fee Revenue'!AO20*2</f>
        <v>159.0315078</v>
      </c>
      <c r="P9" s="42">
        <f>-'Model Summary'!AS9*'Fee Revenue'!AR20*2</f>
        <v>166.0802029</v>
      </c>
      <c r="Q9" s="42">
        <f>-'Model Summary'!AV9*'Fee Revenue'!AU20*2</f>
        <v>173.7653476</v>
      </c>
      <c r="R9" s="42">
        <f>-'Model Summary'!AY9*'Fee Revenue'!AX20*2</f>
        <v>181.4204034</v>
      </c>
      <c r="S9" s="42">
        <f>-'Model Summary'!BB9*'Fee Revenue'!BA20*2</f>
        <v>189.7419866</v>
      </c>
      <c r="T9" s="42">
        <f>-'Model Summary'!BE9*'Fee Revenue'!BD20*2</f>
        <v>198.6959167</v>
      </c>
      <c r="U9" s="42">
        <f>-'Model Summary'!BH9*'Fee Revenue'!BG20*2</f>
        <v>208.3204672</v>
      </c>
      <c r="V9" s="42">
        <f>-'Model Summary'!BK9*'Fee Revenue'!BJ20*2</f>
        <v>217.9108409</v>
      </c>
      <c r="W9" s="42">
        <f>-'Model Summary'!BN9*'Fee Revenue'!BM20*2</f>
        <v>228.1376443</v>
      </c>
      <c r="X9" s="42">
        <f>-'Model Summary'!BQ9*'Fee Revenue'!BP20*2</f>
        <v>239.663352</v>
      </c>
      <c r="Y9" s="42">
        <f>-'Model Summary'!BT9*'Fee Revenue'!BS20*2</f>
        <v>250.556701</v>
      </c>
      <c r="Z9" s="42">
        <f>-'Model Summary'!BW9*'Fee Revenue'!BV20*2</f>
        <v>262.7188486</v>
      </c>
      <c r="AA9" s="42">
        <f>-'Model Summary'!BZ9*'Fee Revenue'!BY20*2</f>
        <v>275.5174193</v>
      </c>
      <c r="AB9" s="42">
        <f>-'Model Summary'!CC9*'Fee Revenue'!CB20*2</f>
        <v>288.3159912</v>
      </c>
      <c r="AC9" s="42">
        <f>-'Model Summary'!CF9*'Fee Revenue'!CE20*2</f>
        <v>301.7811181</v>
      </c>
      <c r="AD9" s="42">
        <f>-'Model Summary'!CI9*'Fee Revenue'!CH20*2</f>
        <v>316.5150559</v>
      </c>
      <c r="AE9" s="42">
        <f>-'Model Summary'!CL9*'Fee Revenue'!CK20*2</f>
        <v>331.2530081</v>
      </c>
      <c r="AF9" s="42">
        <f>-'Model Summary'!CO9*'Fee Revenue'!CN20*2</f>
        <v>347.255767</v>
      </c>
      <c r="AG9" s="1"/>
      <c r="AH9" s="1"/>
      <c r="AI9" s="1"/>
      <c r="AJ9" s="1"/>
      <c r="AK9" s="1"/>
      <c r="AL9" s="1"/>
      <c r="AM9" s="1"/>
      <c r="AN9" s="1"/>
      <c r="AO9" s="1"/>
      <c r="AP9" s="1"/>
    </row>
    <row r="10" ht="13.5" customHeight="1">
      <c r="A10" s="2"/>
      <c r="B10" s="69" t="s">
        <v>88</v>
      </c>
      <c r="C10" s="42">
        <f>'Model Summary'!F34*'Fee Revenue'!E20*2</f>
        <v>22.00689067</v>
      </c>
      <c r="D10" s="42">
        <f>'Model Summary'!I34*'Fee Revenue'!H20*2</f>
        <v>16.25910519</v>
      </c>
      <c r="E10" s="42">
        <f>'Model Summary'!L34*'Fee Revenue'!K20*2</f>
        <v>0</v>
      </c>
      <c r="F10" s="42">
        <f>'Model Summary'!O34*'Fee Revenue'!N20*2</f>
        <v>0</v>
      </c>
      <c r="G10" s="42">
        <f>'Model Summary'!R34*'Fee Revenue'!Q20*2</f>
        <v>0</v>
      </c>
      <c r="H10" s="42">
        <f>'Model Summary'!U34*'Fee Revenue'!T20*2</f>
        <v>0</v>
      </c>
      <c r="I10" s="42">
        <f>'Model Summary'!X34*'Fee Revenue'!W20*2</f>
        <v>0</v>
      </c>
      <c r="J10" s="42">
        <f>'Model Summary'!AA34*'Fee Revenue'!Z20*2</f>
        <v>0</v>
      </c>
      <c r="K10" s="42">
        <f>'Model Summary'!AD34*'Fee Revenue'!AC20*2</f>
        <v>0</v>
      </c>
      <c r="L10" s="42">
        <f>'Model Summary'!AG34*'Fee Revenue'!AF20*2</f>
        <v>0</v>
      </c>
      <c r="M10" s="42">
        <f>'Model Summary'!AJ34*'Fee Revenue'!AI20*2</f>
        <v>0</v>
      </c>
      <c r="N10" s="42">
        <f>'Model Summary'!AM34*'Fee Revenue'!AL20*2</f>
        <v>0</v>
      </c>
      <c r="O10" s="42">
        <f>'Model Summary'!AP34*'Fee Revenue'!AO20*2</f>
        <v>0</v>
      </c>
      <c r="P10" s="42">
        <f>'Model Summary'!AS34*'Fee Revenue'!AR20*2</f>
        <v>0</v>
      </c>
      <c r="Q10" s="42">
        <f>'Model Summary'!AV34*'Fee Revenue'!AU20*2</f>
        <v>0</v>
      </c>
      <c r="R10" s="42">
        <f>'Model Summary'!AY34*'Fee Revenue'!AX20*2</f>
        <v>0</v>
      </c>
      <c r="S10" s="42">
        <f>'Model Summary'!BB34*'Fee Revenue'!BA20*2</f>
        <v>0</v>
      </c>
      <c r="T10" s="42">
        <f>'Model Summary'!BE34*'Fee Revenue'!BD20*2</f>
        <v>0</v>
      </c>
      <c r="U10" s="42">
        <f>'Model Summary'!BH34*'Fee Revenue'!BG20*2</f>
        <v>0</v>
      </c>
      <c r="V10" s="42">
        <f>'Model Summary'!BK34*'Fee Revenue'!BJ20*2</f>
        <v>0</v>
      </c>
      <c r="W10" s="42">
        <f>'Model Summary'!BN34*'Fee Revenue'!BM20*2</f>
        <v>0</v>
      </c>
      <c r="X10" s="42">
        <f>'Model Summary'!BQ34*'Fee Revenue'!BP20*2</f>
        <v>0</v>
      </c>
      <c r="Y10" s="42">
        <f>'Model Summary'!BT34*'Fee Revenue'!BS20*2</f>
        <v>0</v>
      </c>
      <c r="Z10" s="42">
        <f>'Model Summary'!BW34*'Fee Revenue'!BV20*2</f>
        <v>0</v>
      </c>
      <c r="AA10" s="42">
        <f>'Model Summary'!BZ34*'Fee Revenue'!BY20*2</f>
        <v>0</v>
      </c>
      <c r="AB10" s="42">
        <f>'Model Summary'!CC34*'Fee Revenue'!CB20*2</f>
        <v>0</v>
      </c>
      <c r="AC10" s="42">
        <f>'Model Summary'!CF34*'Fee Revenue'!CE20*2</f>
        <v>0</v>
      </c>
      <c r="AD10" s="42">
        <f>'Model Summary'!CI34*'Fee Revenue'!CH20*2</f>
        <v>0</v>
      </c>
      <c r="AE10" s="42">
        <f>'Model Summary'!CL34*'Fee Revenue'!CK20*2</f>
        <v>0</v>
      </c>
      <c r="AF10" s="42">
        <f>'Model Summary'!CO34*'Fee Revenue'!CN20*2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ht="13.5" customHeight="1">
      <c r="A11" s="2"/>
      <c r="B11" s="69" t="s">
        <v>82</v>
      </c>
      <c r="C11" s="42">
        <f>'Model Summary'!F32*'Fee Revenue'!E20*2</f>
        <v>116.0373219</v>
      </c>
      <c r="D11" s="42">
        <f>'Model Summary'!I32*'Fee Revenue'!H20*2</f>
        <v>120.277523</v>
      </c>
      <c r="E11" s="42">
        <f>'Model Summary'!L32*'Fee Revenue'!K20*2</f>
        <v>123.4660683</v>
      </c>
      <c r="F11" s="42">
        <f>'Model Summary'!O32*'Fee Revenue'!N20*2</f>
        <v>127.6552684</v>
      </c>
      <c r="G11" s="42">
        <f>'Model Summary'!R32*'Fee Revenue'!Q20*2</f>
        <v>131.988732</v>
      </c>
      <c r="H11" s="42">
        <f>'Model Summary'!U32*'Fee Revenue'!T20*2</f>
        <v>136.4889312</v>
      </c>
      <c r="I11" s="42">
        <f>'Model Summary'!X32*'Fee Revenue'!W20*2</f>
        <v>135.4618419</v>
      </c>
      <c r="J11" s="42">
        <f>'Model Summary'!AA32*'Fee Revenue'!Z20*2</f>
        <v>140.4354176</v>
      </c>
      <c r="K11" s="42">
        <f>'Model Summary'!AD32*'Fee Revenue'!AC20*2</f>
        <v>145.4723096</v>
      </c>
      <c r="L11" s="42">
        <f>'Model Summary'!AG32*'Fee Revenue'!AF20*2</f>
        <v>150.7155419</v>
      </c>
      <c r="M11" s="42">
        <f>'Model Summary'!AJ32*'Fee Revenue'!AI20*2</f>
        <v>156.1491656</v>
      </c>
      <c r="N11" s="42">
        <f>'Model Summary'!AM32*'Fee Revenue'!AL20*2</f>
        <v>156.0529703</v>
      </c>
      <c r="O11" s="42">
        <f>'Model Summary'!AP32*'Fee Revenue'!AO20*2</f>
        <v>161.7925923</v>
      </c>
      <c r="P11" s="42">
        <f>'Model Summary'!AS32*'Fee Revenue'!AR20*2</f>
        <v>167.8286312</v>
      </c>
      <c r="Q11" s="42">
        <f>'Model Summary'!AV32*'Fee Revenue'!AU20*2</f>
        <v>174.0409982</v>
      </c>
      <c r="R11" s="42">
        <f>'Model Summary'!AY32*'Fee Revenue'!AX20*2</f>
        <v>180.4338777</v>
      </c>
      <c r="S11" s="42">
        <f>'Model Summary'!BB32*'Fee Revenue'!BA20*2</f>
        <v>187.047747</v>
      </c>
      <c r="T11" s="42">
        <f>'Model Summary'!BE32*'Fee Revenue'!BD20*2</f>
        <v>193.9521062</v>
      </c>
      <c r="U11" s="42">
        <f>'Model Summary'!BH32*'Fee Revenue'!BG20*2</f>
        <v>200.9997117</v>
      </c>
      <c r="V11" s="42">
        <f>'Model Summary'!BK32*'Fee Revenue'!BJ20*2</f>
        <v>208.3490213</v>
      </c>
      <c r="W11" s="42">
        <f>'Model Summary'!BN32*'Fee Revenue'!BM20*2</f>
        <v>215.9199603</v>
      </c>
      <c r="X11" s="42">
        <f>'Model Summary'!BQ32*'Fee Revenue'!BP20*2</f>
        <v>223.8121966</v>
      </c>
      <c r="Y11" s="42">
        <f>'Model Summary'!BT32*'Fee Revenue'!BS20*2</f>
        <v>231.9055552</v>
      </c>
      <c r="Z11" s="42">
        <f>'Model Summary'!BW32*'Fee Revenue'!BV20*2</f>
        <v>240.3081342</v>
      </c>
      <c r="AA11" s="42">
        <f>'Model Summary'!BZ32*'Fee Revenue'!BY20*2</f>
        <v>248.9671939</v>
      </c>
      <c r="AB11" s="42">
        <f>'Model Summary'!CC32*'Fee Revenue'!CB20*2</f>
        <v>257.9173883</v>
      </c>
      <c r="AC11" s="42">
        <f>'Model Summary'!CF32*'Fee Revenue'!CE20*2</f>
        <v>267.1706448</v>
      </c>
      <c r="AD11" s="42">
        <f>'Model Summary'!CI32*'Fee Revenue'!CH20*2</f>
        <v>276.7686704</v>
      </c>
      <c r="AE11" s="42">
        <f>'Model Summary'!CL32*'Fee Revenue'!CK20*2</f>
        <v>286.6051847</v>
      </c>
      <c r="AF11" s="42">
        <f>'Model Summary'!CO32*'Fee Revenue'!CN20*2</f>
        <v>296.8879659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ht="13.5" customHeight="1">
      <c r="A12" s="2"/>
      <c r="B12" s="69" t="s">
        <v>89</v>
      </c>
      <c r="C12" s="42">
        <f>'Model Summary'!F36*'Fee Revenue'!E20*2</f>
        <v>2.348850744</v>
      </c>
      <c r="D12" s="42">
        <f>'Model Summary'!I36*'Fee Revenue'!H20*2</f>
        <v>8.522137284</v>
      </c>
      <c r="E12" s="42">
        <f>'Model Summary'!L36*'Fee Revenue'!K20*2</f>
        <v>12.20828317</v>
      </c>
      <c r="F12" s="42">
        <f>'Model Summary'!O36*'Fee Revenue'!N20*2</f>
        <v>13.51105181</v>
      </c>
      <c r="G12" s="42">
        <f>'Model Summary'!R36*'Fee Revenue'!Q20*2</f>
        <v>14.66941614</v>
      </c>
      <c r="H12" s="42">
        <f>'Model Summary'!U36*'Fee Revenue'!T20*2</f>
        <v>14.34943795</v>
      </c>
      <c r="I12" s="42">
        <f>'Model Summary'!X36*'Fee Revenue'!W20*2</f>
        <v>20.86873624</v>
      </c>
      <c r="J12" s="42">
        <f>'Model Summary'!AA36*'Fee Revenue'!Z20*2</f>
        <v>21.27721756</v>
      </c>
      <c r="K12" s="42">
        <f>'Model Summary'!AD36*'Fee Revenue'!AC20*2</f>
        <v>21.69814794</v>
      </c>
      <c r="L12" s="42">
        <f>'Model Summary'!AG36*'Fee Revenue'!AF20*2</f>
        <v>22.14690329</v>
      </c>
      <c r="M12" s="42">
        <f>'Model Summary'!AJ36*'Fee Revenue'!AI20*2</f>
        <v>23.44617755</v>
      </c>
      <c r="N12" s="42">
        <f>'Model Summary'!AM36*'Fee Revenue'!AL20*2</f>
        <v>30.50773918</v>
      </c>
      <c r="O12" s="42">
        <f>'Model Summary'!AP36*'Fee Revenue'!AO20*2</f>
        <v>30.19407654</v>
      </c>
      <c r="P12" s="42">
        <f>'Model Summary'!AS36*'Fee Revenue'!AR20*2</f>
        <v>29.70142789</v>
      </c>
      <c r="Q12" s="42">
        <f>'Model Summary'!AV36*'Fee Revenue'!AU20*2</f>
        <v>30.42022501</v>
      </c>
      <c r="R12" s="42">
        <f>'Model Summary'!AY36*'Fee Revenue'!AX20*2</f>
        <v>30.72673895</v>
      </c>
      <c r="S12" s="42">
        <f>'Model Summary'!BB36*'Fee Revenue'!BA20*2</f>
        <v>31.01247464</v>
      </c>
      <c r="T12" s="42">
        <f>'Model Summary'!BE36*'Fee Revenue'!BD20*2</f>
        <v>32.30894779</v>
      </c>
      <c r="U12" s="42">
        <f>'Model Summary'!BH36*'Fee Revenue'!BG20*2</f>
        <v>33.75090689</v>
      </c>
      <c r="V12" s="42">
        <f>'Model Summary'!BK36*'Fee Revenue'!BJ20*2</f>
        <v>34.5706849</v>
      </c>
      <c r="W12" s="42">
        <f>'Model Summary'!BN36*'Fee Revenue'!BM20*2</f>
        <v>35.13823834</v>
      </c>
      <c r="X12" s="42">
        <f>'Model Summary'!BQ36*'Fee Revenue'!BP20*2</f>
        <v>36.88183546</v>
      </c>
      <c r="Y12" s="42">
        <f>'Model Summary'!BT36*'Fee Revenue'!BS20*2</f>
        <v>37.12537261</v>
      </c>
      <c r="Z12" s="42">
        <f>'Model Summary'!BW36*'Fee Revenue'!BV20*2</f>
        <v>38.32687929</v>
      </c>
      <c r="AA12" s="42">
        <f>'Model Summary'!BZ36*'Fee Revenue'!BY20*2</f>
        <v>39.24211977</v>
      </c>
      <c r="AB12" s="42">
        <f>'Model Summary'!CC36*'Fee Revenue'!CB20*2</f>
        <v>39.86588272</v>
      </c>
      <c r="AC12" s="42">
        <f>'Model Summary'!CF36*'Fee Revenue'!CE20*2</f>
        <v>40.38539909</v>
      </c>
      <c r="AD12" s="42">
        <f>'Model Summary'!CI36*'Fee Revenue'!CH20*2</f>
        <v>41.82492148</v>
      </c>
      <c r="AE12" s="42">
        <f>'Model Summary'!CL36*'Fee Revenue'!CK20*2</f>
        <v>41.70525541</v>
      </c>
      <c r="AF12" s="42">
        <f>'Model Summary'!CO36*'Fee Revenue'!CN20*2</f>
        <v>42.30012775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ht="13.5" customHeight="1">
      <c r="A13" s="2"/>
      <c r="B13" s="63" t="s">
        <v>83</v>
      </c>
      <c r="C13" s="45">
        <f>'Model Summary'!F60*'Fee Revenue'!E20*2</f>
        <v>73.92123131</v>
      </c>
      <c r="D13" s="45">
        <f>'Model Summary'!I60*'Fee Revenue'!H20*2</f>
        <v>77.5869893</v>
      </c>
      <c r="E13" s="45">
        <f>'Model Summary'!L60*'Fee Revenue'!K20*2</f>
        <v>81.42776747</v>
      </c>
      <c r="F13" s="45">
        <f>'Model Summary'!O60*'Fee Revenue'!N20*2</f>
        <v>86.10144223</v>
      </c>
      <c r="G13" s="45">
        <f>'Model Summary'!R60*'Fee Revenue'!Q20*2</f>
        <v>91.07107991</v>
      </c>
      <c r="H13" s="45">
        <f>'Model Summary'!U60*'Fee Revenue'!T20*2</f>
        <v>96.30067395</v>
      </c>
      <c r="I13" s="45">
        <f>'Model Summary'!X60*'Fee Revenue'!W20*2</f>
        <v>101.9223043</v>
      </c>
      <c r="J13" s="45">
        <f>'Model Summary'!AA60*'Fee Revenue'!Z20*2</f>
        <v>107.9608461</v>
      </c>
      <c r="K13" s="45">
        <f>'Model Summary'!AD60*'Fee Revenue'!AC20*2</f>
        <v>114.3036345</v>
      </c>
      <c r="L13" s="45">
        <f>'Model Summary'!AG60*'Fee Revenue'!AF20*2</f>
        <v>121.0815475</v>
      </c>
      <c r="M13" s="45">
        <f>'Model Summary'!AJ60*'Fee Revenue'!AI20*2</f>
        <v>128.306091</v>
      </c>
      <c r="N13" s="45">
        <f>'Model Summary'!AM60*'Fee Revenue'!AL20*2</f>
        <v>136.0242705</v>
      </c>
      <c r="O13" s="45">
        <f>'Model Summary'!AP60*'Fee Revenue'!AO20*2</f>
        <v>144.1536953</v>
      </c>
      <c r="P13" s="45">
        <f>'Model Summary'!AS60*'Fee Revenue'!AR20*2</f>
        <v>152.9030624</v>
      </c>
      <c r="Q13" s="45">
        <f>'Model Summary'!AV60*'Fee Revenue'!AU20*2</f>
        <v>162.1965145</v>
      </c>
      <c r="R13" s="45">
        <f>'Model Summary'!AY60*'Fee Revenue'!AX20*2</f>
        <v>172.0684178</v>
      </c>
      <c r="S13" s="45">
        <f>'Model Summary'!BB60*'Fee Revenue'!BA20*2</f>
        <v>182.5906736</v>
      </c>
      <c r="T13" s="45">
        <f>'Model Summary'!BE60*'Fee Revenue'!BD20*2</f>
        <v>193.8698323</v>
      </c>
      <c r="U13" s="45">
        <f>'Model Summary'!BH60*'Fee Revenue'!BG20*2</f>
        <v>205.7993553</v>
      </c>
      <c r="V13" s="45">
        <f>'Model Summary'!BK60*'Fee Revenue'!BJ20*2</f>
        <v>218.5811793</v>
      </c>
      <c r="W13" s="45">
        <f>'Model Summary'!BN60*'Fee Revenue'!BM20*2</f>
        <v>232.1792919</v>
      </c>
      <c r="X13" s="45">
        <f>'Model Summary'!BQ60*'Fee Revenue'!BP20*2</f>
        <v>246.7500556</v>
      </c>
      <c r="Y13" s="45">
        <f>'Model Summary'!BT60*'Fee Revenue'!BS20*2</f>
        <v>262.2151418</v>
      </c>
      <c r="Z13" s="45">
        <f>'Model Summary'!BW60*'Fee Revenue'!BV20*2</f>
        <v>278.7503061</v>
      </c>
      <c r="AA13" s="45">
        <f>'Model Summary'!BZ60*'Fee Revenue'!BY20*2</f>
        <v>296.3557156</v>
      </c>
      <c r="AB13" s="45">
        <f>'Model Summary'!CC60*'Fee Revenue'!CB20*2</f>
        <v>315.1353451</v>
      </c>
      <c r="AC13" s="45">
        <f>'Model Summary'!CF60*'Fee Revenue'!CE20*2</f>
        <v>335.172666</v>
      </c>
      <c r="AD13" s="45">
        <f>'Model Summary'!CI60*'Fee Revenue'!CH20*2</f>
        <v>356.5949986</v>
      </c>
      <c r="AE13" s="45">
        <f>'Model Summary'!CL60*'Fee Revenue'!CK20*2</f>
        <v>379.3438186</v>
      </c>
      <c r="AF13" s="45">
        <f>'Model Summary'!CO60*'Fee Revenue'!CN20*2</f>
        <v>403.777016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ht="13.5" customHeight="1">
      <c r="A14" s="1"/>
      <c r="B14" s="1" t="s">
        <v>54</v>
      </c>
      <c r="C14" s="42">
        <f t="shared" ref="C14:AF14" si="1">SUM(C9:C13)</f>
        <v>291.9999963</v>
      </c>
      <c r="D14" s="42">
        <f t="shared" si="1"/>
        <v>304.1627918</v>
      </c>
      <c r="E14" s="42">
        <f t="shared" si="1"/>
        <v>318.5833016</v>
      </c>
      <c r="F14" s="42">
        <f t="shared" si="1"/>
        <v>333.8623386</v>
      </c>
      <c r="G14" s="42">
        <f t="shared" si="1"/>
        <v>349.4371985</v>
      </c>
      <c r="H14" s="42">
        <f t="shared" si="1"/>
        <v>363.3281097</v>
      </c>
      <c r="I14" s="42">
        <f t="shared" si="1"/>
        <v>379.5553415</v>
      </c>
      <c r="J14" s="42">
        <f t="shared" si="1"/>
        <v>396.7216383</v>
      </c>
      <c r="K14" s="42">
        <f t="shared" si="1"/>
        <v>414.2721004</v>
      </c>
      <c r="L14" s="42">
        <f t="shared" si="1"/>
        <v>432.5219091</v>
      </c>
      <c r="M14" s="42">
        <f t="shared" si="1"/>
        <v>453.4979648</v>
      </c>
      <c r="N14" s="42">
        <f t="shared" si="1"/>
        <v>475.230199</v>
      </c>
      <c r="O14" s="42">
        <f t="shared" si="1"/>
        <v>495.1718719</v>
      </c>
      <c r="P14" s="42">
        <f t="shared" si="1"/>
        <v>516.5133244</v>
      </c>
      <c r="Q14" s="42">
        <f t="shared" si="1"/>
        <v>540.4230853</v>
      </c>
      <c r="R14" s="42">
        <f t="shared" si="1"/>
        <v>564.6494379</v>
      </c>
      <c r="S14" s="42">
        <f t="shared" si="1"/>
        <v>590.3928819</v>
      </c>
      <c r="T14" s="42">
        <f t="shared" si="1"/>
        <v>618.8268031</v>
      </c>
      <c r="U14" s="42">
        <f t="shared" si="1"/>
        <v>648.8704411</v>
      </c>
      <c r="V14" s="42">
        <f t="shared" si="1"/>
        <v>679.4117264</v>
      </c>
      <c r="W14" s="42">
        <f t="shared" si="1"/>
        <v>711.3751349</v>
      </c>
      <c r="X14" s="42">
        <f t="shared" si="1"/>
        <v>747.1074398</v>
      </c>
      <c r="Y14" s="42">
        <f t="shared" si="1"/>
        <v>781.8027707</v>
      </c>
      <c r="Z14" s="42">
        <f t="shared" si="1"/>
        <v>820.1041681</v>
      </c>
      <c r="AA14" s="42">
        <f t="shared" si="1"/>
        <v>860.0824485</v>
      </c>
      <c r="AB14" s="42">
        <f t="shared" si="1"/>
        <v>901.2346073</v>
      </c>
      <c r="AC14" s="42">
        <f t="shared" si="1"/>
        <v>944.509828</v>
      </c>
      <c r="AD14" s="42">
        <f t="shared" si="1"/>
        <v>991.7036464</v>
      </c>
      <c r="AE14" s="42">
        <f t="shared" si="1"/>
        <v>1038.907267</v>
      </c>
      <c r="AF14" s="42">
        <f t="shared" si="1"/>
        <v>1090.220877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ht="13.5" customHeight="1">
      <c r="A15" s="1"/>
      <c r="B15" s="1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</sheetData>
  <mergeCells count="1">
    <mergeCell ref="B2:I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7.29" defaultRowHeight="15.0"/>
  <cols>
    <col customWidth="1" min="1" max="1" width="2.71"/>
    <col customWidth="1" min="2" max="2" width="3.71"/>
    <col customWidth="1" min="3" max="3" width="54.86"/>
    <col customWidth="1" min="4" max="4" width="13.71"/>
    <col customWidth="1" min="5" max="5" width="8.29"/>
    <col customWidth="1" min="6" max="6" width="10.14"/>
    <col customWidth="1" min="7" max="7" width="13.71"/>
    <col customWidth="1" min="8" max="8" width="8.43"/>
    <col customWidth="1" min="9" max="9" width="8.29"/>
    <col customWidth="1" min="10" max="10" width="13.71"/>
    <col customWidth="1" min="11" max="11" width="8.43"/>
    <col customWidth="1" min="12" max="12" width="8.86"/>
    <col customWidth="1" min="13" max="13" width="13.71"/>
    <col customWidth="1" min="14" max="14" width="8.43"/>
    <col customWidth="1" min="15" max="15" width="9.29"/>
    <col customWidth="1" min="16" max="16" width="13.71"/>
    <col customWidth="1" min="17" max="17" width="8.43"/>
    <col customWidth="1" min="18" max="18" width="8.86"/>
    <col customWidth="1" min="19" max="19" width="13.71"/>
    <col customWidth="1" min="20" max="20" width="8.43"/>
    <col customWidth="1" min="21" max="21" width="9.29"/>
    <col customWidth="1" min="22" max="22" width="13.71"/>
    <col customWidth="1" min="23" max="23" width="8.43"/>
    <col customWidth="1" min="24" max="24" width="8.29"/>
    <col customWidth="1" min="25" max="25" width="13.71"/>
    <col customWidth="1" min="26" max="27" width="8.43"/>
    <col customWidth="1" min="28" max="28" width="13.71"/>
    <col customWidth="1" min="29" max="29" width="8.43"/>
    <col customWidth="1" min="30" max="30" width="9.29"/>
    <col customWidth="1" min="31" max="31" width="13.71"/>
    <col customWidth="1" min="32" max="32" width="8.43"/>
    <col customWidth="1" min="33" max="33" width="9.29"/>
    <col customWidth="1" min="34" max="34" width="13.71"/>
    <col customWidth="1" min="35" max="35" width="8.43"/>
    <col customWidth="1" min="36" max="36" width="9.29"/>
    <col customWidth="1" min="37" max="37" width="13.71"/>
    <col customWidth="1" min="38" max="39" width="8.43"/>
    <col customWidth="1" min="40" max="40" width="13.71"/>
    <col customWidth="1" min="41" max="41" width="8.43"/>
    <col customWidth="1" min="42" max="42" width="9.29"/>
    <col customWidth="1" min="43" max="43" width="13.71"/>
    <col customWidth="1" min="44" max="44" width="8.43"/>
    <col customWidth="1" min="45" max="45" width="9.29"/>
    <col customWidth="1" min="46" max="46" width="13.71"/>
    <col customWidth="1" min="47" max="47" width="8.43"/>
    <col customWidth="1" min="48" max="48" width="9.29"/>
    <col customWidth="1" min="49" max="49" width="13.71"/>
    <col customWidth="1" min="50" max="50" width="8.43"/>
    <col customWidth="1" min="51" max="51" width="9.29"/>
    <col customWidth="1" min="52" max="52" width="13.71"/>
    <col customWidth="1" min="53" max="53" width="8.43"/>
    <col customWidth="1" min="54" max="54" width="9.29"/>
    <col customWidth="1" min="55" max="55" width="13.71"/>
    <col customWidth="1" min="56" max="56" width="8.43"/>
    <col customWidth="1" min="57" max="57" width="8.86"/>
    <col customWidth="1" min="58" max="58" width="13.71"/>
    <col customWidth="1" min="59" max="59" width="8.43"/>
    <col customWidth="1" min="60" max="60" width="8.86"/>
    <col customWidth="1" min="61" max="61" width="13.71"/>
    <col customWidth="1" min="62" max="62" width="8.43"/>
    <col customWidth="1" min="63" max="63" width="8.86"/>
    <col customWidth="1" min="64" max="64" width="13.71"/>
    <col customWidth="1" min="65" max="65" width="8.43"/>
    <col customWidth="1" min="66" max="66" width="9.29"/>
    <col customWidth="1" min="67" max="67" width="13.71"/>
    <col customWidth="1" min="68" max="68" width="8.43"/>
    <col customWidth="1" min="69" max="69" width="9.29"/>
    <col customWidth="1" min="70" max="70" width="13.71"/>
    <col customWidth="1" min="71" max="71" width="8.43"/>
    <col customWidth="1" min="72" max="72" width="9.29"/>
    <col customWidth="1" min="73" max="73" width="13.71"/>
    <col customWidth="1" min="74" max="74" width="8.43"/>
    <col customWidth="1" min="75" max="75" width="9.29"/>
    <col customWidth="1" min="76" max="76" width="13.71"/>
    <col customWidth="1" min="77" max="77" width="8.43"/>
    <col customWidth="1" min="78" max="78" width="9.29"/>
    <col customWidth="1" min="79" max="79" width="13.71"/>
    <col customWidth="1" min="80" max="80" width="8.43"/>
    <col customWidth="1" min="81" max="81" width="9.29"/>
    <col customWidth="1" min="82" max="82" width="13.71"/>
    <col customWidth="1" min="83" max="83" width="8.43"/>
    <col customWidth="1" min="84" max="84" width="9.29"/>
    <col customWidth="1" min="85" max="85" width="13.71"/>
    <col customWidth="1" min="86" max="86" width="8.43"/>
    <col customWidth="1" min="87" max="87" width="9.29"/>
    <col customWidth="1" min="88" max="88" width="13.71"/>
    <col customWidth="1" min="89" max="89" width="8.43"/>
    <col customWidth="1" min="90" max="90" width="8.86"/>
    <col customWidth="1" min="91" max="91" width="13.71"/>
    <col customWidth="1" min="92" max="92" width="8.43"/>
    <col customWidth="1" min="93" max="93" width="9.29"/>
    <col customWidth="1" min="94" max="94" width="13.71"/>
    <col customWidth="1" min="95" max="95" width="8.86"/>
  </cols>
  <sheetData>
    <row r="1" ht="13.5" customHeight="1">
      <c r="A1" s="1"/>
      <c r="B1" s="7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ht="22.5" customHeight="1">
      <c r="A2" s="1"/>
      <c r="B2" s="3" t="s">
        <v>90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ht="18.0" customHeight="1">
      <c r="A3" s="1"/>
      <c r="B3" s="4" t="s">
        <v>91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ht="13.5" customHeight="1">
      <c r="A4" s="1"/>
      <c r="B4" s="5" t="s">
        <v>2</v>
      </c>
      <c r="C4" s="71"/>
      <c r="D4" s="72" t="s">
        <v>11</v>
      </c>
      <c r="E4" s="73"/>
      <c r="F4" s="73"/>
      <c r="G4" s="72" t="s">
        <v>12</v>
      </c>
      <c r="H4" s="73"/>
      <c r="I4" s="73"/>
      <c r="J4" s="72" t="s">
        <v>14</v>
      </c>
      <c r="K4" s="73"/>
      <c r="L4" s="73"/>
      <c r="M4" s="72" t="s">
        <v>16</v>
      </c>
      <c r="N4" s="73"/>
      <c r="O4" s="73"/>
      <c r="P4" s="72" t="s">
        <v>17</v>
      </c>
      <c r="Q4" s="73"/>
      <c r="R4" s="73"/>
      <c r="S4" s="72" t="s">
        <v>18</v>
      </c>
      <c r="T4" s="73"/>
      <c r="U4" s="73"/>
      <c r="V4" s="72" t="s">
        <v>19</v>
      </c>
      <c r="W4" s="73"/>
      <c r="X4" s="73"/>
      <c r="Y4" s="72" t="s">
        <v>20</v>
      </c>
      <c r="Z4" s="73"/>
      <c r="AA4" s="73"/>
      <c r="AB4" s="72" t="s">
        <v>21</v>
      </c>
      <c r="AC4" s="73"/>
      <c r="AD4" s="73"/>
      <c r="AE4" s="72" t="s">
        <v>22</v>
      </c>
      <c r="AF4" s="73"/>
      <c r="AG4" s="73"/>
      <c r="AH4" s="72" t="s">
        <v>23</v>
      </c>
      <c r="AI4" s="73"/>
      <c r="AJ4" s="73"/>
      <c r="AK4" s="72" t="s">
        <v>24</v>
      </c>
      <c r="AL4" s="73"/>
      <c r="AM4" s="73"/>
      <c r="AN4" s="72" t="s">
        <v>25</v>
      </c>
      <c r="AO4" s="73"/>
      <c r="AP4" s="73"/>
      <c r="AQ4" s="72" t="s">
        <v>26</v>
      </c>
      <c r="AR4" s="73"/>
      <c r="AS4" s="73"/>
      <c r="AT4" s="72" t="s">
        <v>27</v>
      </c>
      <c r="AU4" s="73"/>
      <c r="AV4" s="73"/>
      <c r="AW4" s="72" t="s">
        <v>28</v>
      </c>
      <c r="AX4" s="73"/>
      <c r="AY4" s="73"/>
      <c r="AZ4" s="72" t="s">
        <v>29</v>
      </c>
      <c r="BA4" s="73"/>
      <c r="BB4" s="73"/>
      <c r="BC4" s="72" t="s">
        <v>30</v>
      </c>
      <c r="BD4" s="73"/>
      <c r="BE4" s="73"/>
      <c r="BF4" s="72" t="s">
        <v>31</v>
      </c>
      <c r="BG4" s="73"/>
      <c r="BH4" s="73"/>
      <c r="BI4" s="72" t="s">
        <v>32</v>
      </c>
      <c r="BJ4" s="73"/>
      <c r="BK4" s="73"/>
      <c r="BL4" s="72" t="s">
        <v>33</v>
      </c>
      <c r="BM4" s="73"/>
      <c r="BN4" s="73"/>
      <c r="BO4" s="72" t="s">
        <v>34</v>
      </c>
      <c r="BP4" s="73"/>
      <c r="BQ4" s="73"/>
      <c r="BR4" s="72" t="s">
        <v>35</v>
      </c>
      <c r="BS4" s="73"/>
      <c r="BT4" s="73"/>
      <c r="BU4" s="72" t="s">
        <v>36</v>
      </c>
      <c r="BV4" s="73"/>
      <c r="BW4" s="73"/>
      <c r="BX4" s="72" t="s">
        <v>37</v>
      </c>
      <c r="BY4" s="73"/>
      <c r="BZ4" s="73"/>
      <c r="CA4" s="72" t="s">
        <v>38</v>
      </c>
      <c r="CB4" s="73"/>
      <c r="CC4" s="73"/>
      <c r="CD4" s="72" t="s">
        <v>39</v>
      </c>
      <c r="CE4" s="73"/>
      <c r="CF4" s="73"/>
      <c r="CG4" s="72" t="s">
        <v>40</v>
      </c>
      <c r="CH4" s="73"/>
      <c r="CI4" s="73"/>
      <c r="CJ4" s="72" t="s">
        <v>41</v>
      </c>
      <c r="CK4" s="73"/>
      <c r="CL4" s="73"/>
      <c r="CM4" s="72" t="s">
        <v>42</v>
      </c>
      <c r="CN4" s="73"/>
      <c r="CO4" s="73"/>
      <c r="CP4" s="1"/>
    </row>
    <row r="5" ht="45.0" customHeight="1">
      <c r="A5" s="1"/>
      <c r="B5" s="74" t="s">
        <v>92</v>
      </c>
      <c r="C5" s="9"/>
      <c r="D5" s="75" t="s">
        <v>59</v>
      </c>
      <c r="E5" s="76" t="s">
        <v>93</v>
      </c>
      <c r="F5" s="77" t="s">
        <v>94</v>
      </c>
      <c r="G5" s="75" t="s">
        <v>59</v>
      </c>
      <c r="H5" s="76" t="s">
        <v>93</v>
      </c>
      <c r="I5" s="77" t="s">
        <v>94</v>
      </c>
      <c r="J5" s="75" t="s">
        <v>59</v>
      </c>
      <c r="K5" s="76" t="s">
        <v>93</v>
      </c>
      <c r="L5" s="77" t="s">
        <v>94</v>
      </c>
      <c r="M5" s="75" t="s">
        <v>59</v>
      </c>
      <c r="N5" s="76" t="s">
        <v>93</v>
      </c>
      <c r="O5" s="77" t="s">
        <v>94</v>
      </c>
      <c r="P5" s="75" t="s">
        <v>59</v>
      </c>
      <c r="Q5" s="76" t="s">
        <v>93</v>
      </c>
      <c r="R5" s="77" t="s">
        <v>94</v>
      </c>
      <c r="S5" s="75" t="s">
        <v>59</v>
      </c>
      <c r="T5" s="76" t="s">
        <v>93</v>
      </c>
      <c r="U5" s="77" t="s">
        <v>94</v>
      </c>
      <c r="V5" s="75" t="s">
        <v>59</v>
      </c>
      <c r="W5" s="76" t="s">
        <v>93</v>
      </c>
      <c r="X5" s="77" t="s">
        <v>94</v>
      </c>
      <c r="Y5" s="75" t="s">
        <v>59</v>
      </c>
      <c r="Z5" s="76" t="s">
        <v>93</v>
      </c>
      <c r="AA5" s="77" t="s">
        <v>94</v>
      </c>
      <c r="AB5" s="75" t="s">
        <v>59</v>
      </c>
      <c r="AC5" s="76" t="s">
        <v>93</v>
      </c>
      <c r="AD5" s="77" t="s">
        <v>94</v>
      </c>
      <c r="AE5" s="75" t="s">
        <v>59</v>
      </c>
      <c r="AF5" s="76" t="s">
        <v>93</v>
      </c>
      <c r="AG5" s="77" t="s">
        <v>94</v>
      </c>
      <c r="AH5" s="75" t="s">
        <v>59</v>
      </c>
      <c r="AI5" s="76" t="s">
        <v>93</v>
      </c>
      <c r="AJ5" s="77" t="s">
        <v>94</v>
      </c>
      <c r="AK5" s="75" t="s">
        <v>59</v>
      </c>
      <c r="AL5" s="76" t="s">
        <v>93</v>
      </c>
      <c r="AM5" s="77" t="s">
        <v>94</v>
      </c>
      <c r="AN5" s="75" t="s">
        <v>59</v>
      </c>
      <c r="AO5" s="76" t="s">
        <v>93</v>
      </c>
      <c r="AP5" s="77" t="s">
        <v>94</v>
      </c>
      <c r="AQ5" s="75" t="s">
        <v>59</v>
      </c>
      <c r="AR5" s="76" t="s">
        <v>93</v>
      </c>
      <c r="AS5" s="77" t="s">
        <v>94</v>
      </c>
      <c r="AT5" s="75" t="s">
        <v>59</v>
      </c>
      <c r="AU5" s="76" t="s">
        <v>93</v>
      </c>
      <c r="AV5" s="77" t="s">
        <v>94</v>
      </c>
      <c r="AW5" s="75" t="s">
        <v>59</v>
      </c>
      <c r="AX5" s="76" t="s">
        <v>93</v>
      </c>
      <c r="AY5" s="77" t="s">
        <v>94</v>
      </c>
      <c r="AZ5" s="75" t="s">
        <v>59</v>
      </c>
      <c r="BA5" s="76" t="s">
        <v>93</v>
      </c>
      <c r="BB5" s="77" t="s">
        <v>94</v>
      </c>
      <c r="BC5" s="75" t="s">
        <v>59</v>
      </c>
      <c r="BD5" s="76" t="s">
        <v>93</v>
      </c>
      <c r="BE5" s="77" t="s">
        <v>94</v>
      </c>
      <c r="BF5" s="75" t="s">
        <v>59</v>
      </c>
      <c r="BG5" s="76" t="s">
        <v>93</v>
      </c>
      <c r="BH5" s="77" t="s">
        <v>94</v>
      </c>
      <c r="BI5" s="75" t="s">
        <v>59</v>
      </c>
      <c r="BJ5" s="76" t="s">
        <v>93</v>
      </c>
      <c r="BK5" s="77" t="s">
        <v>94</v>
      </c>
      <c r="BL5" s="75" t="s">
        <v>59</v>
      </c>
      <c r="BM5" s="76" t="s">
        <v>93</v>
      </c>
      <c r="BN5" s="77" t="s">
        <v>94</v>
      </c>
      <c r="BO5" s="75" t="s">
        <v>59</v>
      </c>
      <c r="BP5" s="76" t="s">
        <v>93</v>
      </c>
      <c r="BQ5" s="77" t="s">
        <v>94</v>
      </c>
      <c r="BR5" s="75" t="s">
        <v>59</v>
      </c>
      <c r="BS5" s="76" t="s">
        <v>93</v>
      </c>
      <c r="BT5" s="77" t="s">
        <v>94</v>
      </c>
      <c r="BU5" s="75" t="s">
        <v>59</v>
      </c>
      <c r="BV5" s="76" t="s">
        <v>93</v>
      </c>
      <c r="BW5" s="77" t="s">
        <v>94</v>
      </c>
      <c r="BX5" s="75" t="s">
        <v>59</v>
      </c>
      <c r="BY5" s="76" t="s">
        <v>93</v>
      </c>
      <c r="BZ5" s="77" t="s">
        <v>94</v>
      </c>
      <c r="CA5" s="75" t="s">
        <v>59</v>
      </c>
      <c r="CB5" s="76" t="s">
        <v>93</v>
      </c>
      <c r="CC5" s="77" t="s">
        <v>94</v>
      </c>
      <c r="CD5" s="75" t="s">
        <v>59</v>
      </c>
      <c r="CE5" s="76" t="s">
        <v>93</v>
      </c>
      <c r="CF5" s="77" t="s">
        <v>94</v>
      </c>
      <c r="CG5" s="75" t="s">
        <v>59</v>
      </c>
      <c r="CH5" s="76" t="s">
        <v>93</v>
      </c>
      <c r="CI5" s="77" t="s">
        <v>94</v>
      </c>
      <c r="CJ5" s="75" t="s">
        <v>59</v>
      </c>
      <c r="CK5" s="76" t="s">
        <v>93</v>
      </c>
      <c r="CL5" s="77" t="s">
        <v>94</v>
      </c>
      <c r="CM5" s="75" t="s">
        <v>59</v>
      </c>
      <c r="CN5" s="76" t="s">
        <v>93</v>
      </c>
      <c r="CO5" s="77" t="s">
        <v>94</v>
      </c>
      <c r="CP5" s="1"/>
    </row>
    <row r="6" ht="13.5" customHeight="1">
      <c r="A6" s="1"/>
      <c r="B6" s="78" t="s">
        <v>95</v>
      </c>
      <c r="C6" s="79"/>
      <c r="D6" s="80"/>
      <c r="E6" s="32"/>
      <c r="F6" s="81"/>
      <c r="G6" s="80"/>
      <c r="H6" s="32"/>
      <c r="I6" s="81"/>
      <c r="J6" s="80"/>
      <c r="K6" s="32"/>
      <c r="L6" s="81"/>
      <c r="M6" s="80"/>
      <c r="N6" s="32"/>
      <c r="O6" s="81"/>
      <c r="P6" s="80"/>
      <c r="Q6" s="32"/>
      <c r="R6" s="81"/>
      <c r="S6" s="80"/>
      <c r="T6" s="32"/>
      <c r="U6" s="81"/>
      <c r="V6" s="80"/>
      <c r="W6" s="32"/>
      <c r="X6" s="81"/>
      <c r="Y6" s="80"/>
      <c r="Z6" s="32"/>
      <c r="AA6" s="81"/>
      <c r="AB6" s="80"/>
      <c r="AC6" s="32"/>
      <c r="AD6" s="81"/>
      <c r="AE6" s="80"/>
      <c r="AF6" s="32"/>
      <c r="AG6" s="81"/>
      <c r="AH6" s="80"/>
      <c r="AI6" s="32"/>
      <c r="AJ6" s="81"/>
      <c r="AK6" s="80"/>
      <c r="AL6" s="32"/>
      <c r="AM6" s="81"/>
      <c r="AN6" s="80"/>
      <c r="AO6" s="32"/>
      <c r="AP6" s="81"/>
      <c r="AQ6" s="80"/>
      <c r="AR6" s="32"/>
      <c r="AS6" s="81"/>
      <c r="AT6" s="80"/>
      <c r="AU6" s="32"/>
      <c r="AV6" s="81"/>
      <c r="AW6" s="80"/>
      <c r="AX6" s="32"/>
      <c r="AY6" s="81"/>
      <c r="AZ6" s="80"/>
      <c r="BA6" s="32"/>
      <c r="BB6" s="81"/>
      <c r="BC6" s="80"/>
      <c r="BD6" s="32"/>
      <c r="BE6" s="81"/>
      <c r="BF6" s="80"/>
      <c r="BG6" s="32"/>
      <c r="BH6" s="81"/>
      <c r="BI6" s="80"/>
      <c r="BJ6" s="32"/>
      <c r="BK6" s="81"/>
      <c r="BL6" s="80"/>
      <c r="BM6" s="32"/>
      <c r="BN6" s="81"/>
      <c r="BO6" s="80"/>
      <c r="BP6" s="32"/>
      <c r="BQ6" s="81"/>
      <c r="BR6" s="80"/>
      <c r="BS6" s="32"/>
      <c r="BT6" s="81"/>
      <c r="BU6" s="80"/>
      <c r="BV6" s="32"/>
      <c r="BW6" s="81"/>
      <c r="BX6" s="80"/>
      <c r="BY6" s="32"/>
      <c r="BZ6" s="81"/>
      <c r="CA6" s="80"/>
      <c r="CB6" s="32"/>
      <c r="CC6" s="81"/>
      <c r="CD6" s="80"/>
      <c r="CE6" s="32"/>
      <c r="CF6" s="81"/>
      <c r="CG6" s="80"/>
      <c r="CH6" s="32"/>
      <c r="CI6" s="81"/>
      <c r="CJ6" s="80"/>
      <c r="CK6" s="32"/>
      <c r="CL6" s="81"/>
      <c r="CM6" s="80"/>
      <c r="CN6" s="32"/>
      <c r="CO6" s="81"/>
      <c r="CP6" s="1"/>
    </row>
    <row r="7" ht="13.5" customHeight="1">
      <c r="A7" s="1"/>
      <c r="B7" s="82">
        <v>1.0</v>
      </c>
      <c r="C7" s="83" t="s">
        <v>96</v>
      </c>
      <c r="D7" s="80"/>
      <c r="E7" s="32"/>
      <c r="F7" s="81"/>
      <c r="G7" s="80"/>
      <c r="H7" s="32"/>
      <c r="I7" s="81"/>
      <c r="J7" s="80"/>
      <c r="K7" s="32"/>
      <c r="L7" s="81"/>
      <c r="M7" s="80"/>
      <c r="N7" s="32"/>
      <c r="O7" s="81"/>
      <c r="P7" s="80"/>
      <c r="Q7" s="32"/>
      <c r="R7" s="81"/>
      <c r="S7" s="80"/>
      <c r="T7" s="32"/>
      <c r="U7" s="81"/>
      <c r="V7" s="80"/>
      <c r="W7" s="32"/>
      <c r="X7" s="81"/>
      <c r="Y7" s="80"/>
      <c r="Z7" s="32"/>
      <c r="AA7" s="81"/>
      <c r="AB7" s="80"/>
      <c r="AC7" s="32"/>
      <c r="AD7" s="81"/>
      <c r="AE7" s="80"/>
      <c r="AF7" s="32"/>
      <c r="AG7" s="81"/>
      <c r="AH7" s="80"/>
      <c r="AI7" s="32"/>
      <c r="AJ7" s="81"/>
      <c r="AK7" s="80"/>
      <c r="AL7" s="32"/>
      <c r="AM7" s="81"/>
      <c r="AN7" s="80"/>
      <c r="AO7" s="32"/>
      <c r="AP7" s="81"/>
      <c r="AQ7" s="80"/>
      <c r="AR7" s="32"/>
      <c r="AS7" s="81"/>
      <c r="AT7" s="80"/>
      <c r="AU7" s="32"/>
      <c r="AV7" s="81"/>
      <c r="AW7" s="80"/>
      <c r="AX7" s="32"/>
      <c r="AY7" s="81"/>
      <c r="AZ7" s="80"/>
      <c r="BA7" s="32"/>
      <c r="BB7" s="81"/>
      <c r="BC7" s="80"/>
      <c r="BD7" s="32"/>
      <c r="BE7" s="81"/>
      <c r="BF7" s="80"/>
      <c r="BG7" s="32"/>
      <c r="BH7" s="81"/>
      <c r="BI7" s="80"/>
      <c r="BJ7" s="32"/>
      <c r="BK7" s="81"/>
      <c r="BL7" s="80"/>
      <c r="BM7" s="32"/>
      <c r="BN7" s="81"/>
      <c r="BO7" s="80"/>
      <c r="BP7" s="32"/>
      <c r="BQ7" s="81"/>
      <c r="BR7" s="80"/>
      <c r="BS7" s="32"/>
      <c r="BT7" s="81"/>
      <c r="BU7" s="80"/>
      <c r="BV7" s="32"/>
      <c r="BW7" s="81"/>
      <c r="BX7" s="80"/>
      <c r="BY7" s="32"/>
      <c r="BZ7" s="81"/>
      <c r="CA7" s="80"/>
      <c r="CB7" s="32"/>
      <c r="CC7" s="81"/>
      <c r="CD7" s="80"/>
      <c r="CE7" s="32"/>
      <c r="CF7" s="81"/>
      <c r="CG7" s="80"/>
      <c r="CH7" s="32"/>
      <c r="CI7" s="81"/>
      <c r="CJ7" s="80"/>
      <c r="CK7" s="32"/>
      <c r="CL7" s="81"/>
      <c r="CM7" s="80"/>
      <c r="CN7" s="32"/>
      <c r="CO7" s="81"/>
      <c r="CP7" s="1"/>
    </row>
    <row r="8" ht="13.5" customHeight="1">
      <c r="A8" s="1"/>
      <c r="B8" s="82" t="s">
        <v>97</v>
      </c>
      <c r="C8" s="84" t="s">
        <v>98</v>
      </c>
      <c r="D8" s="85">
        <f>'Fee Revenue'!E70+'Fee Revenue'!E72+'Fee Revenue'!E74</f>
        <v>12236250</v>
      </c>
      <c r="E8" s="32" t="s">
        <v>99</v>
      </c>
      <c r="F8" s="86">
        <f>D8/D8</f>
        <v>1</v>
      </c>
      <c r="G8" s="85">
        <f>'Fee Revenue'!H70+'Fee Revenue'!H72+'Fee Revenue'!H74</f>
        <v>12825000</v>
      </c>
      <c r="H8" s="87">
        <f t="shared" ref="H8:H10" si="1">(G8-D8)/D8</f>
        <v>0.04811523138</v>
      </c>
      <c r="I8" s="86">
        <f>G8/G8</f>
        <v>1</v>
      </c>
      <c r="J8" s="85">
        <f>'Fee Revenue'!K70+'Fee Revenue'!K72+'Fee Revenue'!K74</f>
        <v>13511500</v>
      </c>
      <c r="K8" s="87">
        <f t="shared" ref="K8:K10" si="2">(J8-G8)/G8</f>
        <v>0.05352826511</v>
      </c>
      <c r="L8" s="86">
        <f>J8/J8</f>
        <v>1</v>
      </c>
      <c r="M8" s="85">
        <f>'Fee Revenue'!N70+'Fee Revenue'!N72+'Fee Revenue'!N74</f>
        <v>14190500</v>
      </c>
      <c r="N8" s="87">
        <f t="shared" ref="N8:N10" si="3">(M8-J8)/J8</f>
        <v>0.05025348777</v>
      </c>
      <c r="O8" s="86">
        <f>M8/M8</f>
        <v>1</v>
      </c>
      <c r="P8" s="85">
        <f>'Fee Revenue'!Q70+'Fee Revenue'!Q72+'Fee Revenue'!Q74</f>
        <v>14869500</v>
      </c>
      <c r="Q8" s="87">
        <f t="shared" ref="Q8:Q10" si="4">(P8-M8)/M8</f>
        <v>0.04784891301</v>
      </c>
      <c r="R8" s="86">
        <f>P8/P8</f>
        <v>1</v>
      </c>
      <c r="S8" s="85">
        <f>'Fee Revenue'!T70+'Fee Revenue'!T72+'Fee Revenue'!T74</f>
        <v>15472500</v>
      </c>
      <c r="T8" s="87">
        <f t="shared" ref="T8:T10" si="5">(S8-P8)/P8</f>
        <v>0.04055280944</v>
      </c>
      <c r="U8" s="86">
        <f>S8/S8</f>
        <v>1</v>
      </c>
      <c r="V8" s="85">
        <f>'Fee Revenue'!W70+'Fee Revenue'!W72+'Fee Revenue'!W74</f>
        <v>16151500</v>
      </c>
      <c r="W8" s="87">
        <f t="shared" ref="W8:W10" si="6">(V8-S8)/S8</f>
        <v>0.04388431087</v>
      </c>
      <c r="X8" s="86">
        <f>V8/V8</f>
        <v>1</v>
      </c>
      <c r="Y8" s="85">
        <f>'Fee Revenue'!Z70+'Fee Revenue'!Z72+'Fee Revenue'!Z74</f>
        <v>16906500</v>
      </c>
      <c r="Z8" s="87">
        <f t="shared" ref="Z8:Z10" si="7">(Y8-V8)/V8</f>
        <v>0.04674488438</v>
      </c>
      <c r="AA8" s="86">
        <f>Y8/Y8</f>
        <v>1</v>
      </c>
      <c r="AB8" s="85">
        <f>'Fee Revenue'!AC70+'Fee Revenue'!AC72+'Fee Revenue'!AC74</f>
        <v>17674000</v>
      </c>
      <c r="AC8" s="87">
        <f t="shared" ref="AC8:AC10" si="8">(AB8-Y8)/Y8</f>
        <v>0.0453967409</v>
      </c>
      <c r="AD8" s="86">
        <f>AB8/AB8</f>
        <v>1</v>
      </c>
      <c r="AE8" s="85">
        <f>'Fee Revenue'!AF70+'Fee Revenue'!AF72+'Fee Revenue'!AF74</f>
        <v>18437500</v>
      </c>
      <c r="AF8" s="87">
        <f t="shared" ref="AF8:AF10" si="9">(AE8-AB8)/AB8</f>
        <v>0.04319904945</v>
      </c>
      <c r="AG8" s="86">
        <f>AE8/AE8</f>
        <v>1</v>
      </c>
      <c r="AH8" s="85">
        <f>'Fee Revenue'!AI70+'Fee Revenue'!AI72+'Fee Revenue'!AI74</f>
        <v>19369500</v>
      </c>
      <c r="AI8" s="87">
        <f t="shared" ref="AI8:AI10" si="10">(AH8-AE8)/AE8</f>
        <v>0.05054915254</v>
      </c>
      <c r="AJ8" s="86">
        <f>AH8/AH8</f>
        <v>1</v>
      </c>
      <c r="AK8" s="85">
        <f>'Fee Revenue'!AL70+'Fee Revenue'!AL72+'Fee Revenue'!AL74</f>
        <v>20297500</v>
      </c>
      <c r="AL8" s="87">
        <f t="shared" ref="AL8:AL10" si="11">(AK8-AH8)/AH8</f>
        <v>0.04791037456</v>
      </c>
      <c r="AM8" s="86">
        <f>AK8/AK8</f>
        <v>1</v>
      </c>
      <c r="AN8" s="85">
        <f>'Fee Revenue'!AO70+'Fee Revenue'!AO72+'Fee Revenue'!AO74</f>
        <v>21153500</v>
      </c>
      <c r="AO8" s="87">
        <f t="shared" ref="AO8:AO10" si="12">(AN8-AK8)/AK8</f>
        <v>0.04217268136</v>
      </c>
      <c r="AP8" s="86">
        <f>AN8/AN8</f>
        <v>1</v>
      </c>
      <c r="AQ8" s="85">
        <f>'Fee Revenue'!AR70+'Fee Revenue'!AR72+'Fee Revenue'!AR74</f>
        <v>22081500</v>
      </c>
      <c r="AR8" s="87">
        <f t="shared" ref="AR8:AR10" si="13">(AQ8-AN8)/AN8</f>
        <v>0.04386980878</v>
      </c>
      <c r="AS8" s="86">
        <f>AQ8/AQ8</f>
        <v>1</v>
      </c>
      <c r="AT8" s="85">
        <f>'Fee Revenue'!AU70+'Fee Revenue'!AU72+'Fee Revenue'!AU74</f>
        <v>23098000</v>
      </c>
      <c r="AU8" s="87">
        <f t="shared" ref="AU8:AU10" si="14">(AT8-AQ8)/AQ8</f>
        <v>0.04603401037</v>
      </c>
      <c r="AV8" s="86">
        <f>AT8/AT8</f>
        <v>1</v>
      </c>
      <c r="AW8" s="85">
        <f>'Fee Revenue'!AX70+'Fee Revenue'!AX72+'Fee Revenue'!AX74</f>
        <v>24118500</v>
      </c>
      <c r="AX8" s="87">
        <f t="shared" ref="AX8:AX10" si="15">(AW8-AT8)/AT8</f>
        <v>0.0441813144</v>
      </c>
      <c r="AY8" s="86">
        <f>AW8/AW8</f>
        <v>1</v>
      </c>
      <c r="AZ8" s="85">
        <f>'Fee Revenue'!BA70+'Fee Revenue'!BA72+'Fee Revenue'!BA74</f>
        <v>25223500</v>
      </c>
      <c r="BA8" s="87">
        <f t="shared" ref="BA8:BA10" si="16">(AZ8-AW8)/AW8</f>
        <v>0.04581545287</v>
      </c>
      <c r="BB8" s="86">
        <f>AZ8/AZ8</f>
        <v>1</v>
      </c>
      <c r="BC8" s="85">
        <f>'Fee Revenue'!BD70+'Fee Revenue'!BD72+'Fee Revenue'!BD74</f>
        <v>26404500</v>
      </c>
      <c r="BD8" s="87">
        <f t="shared" ref="BD8:BD10" si="17">(BC8-AZ8)/AZ8</f>
        <v>0.04682141654</v>
      </c>
      <c r="BE8" s="86">
        <f>BC8/BC8</f>
        <v>1</v>
      </c>
      <c r="BF8" s="85">
        <f>'Fee Revenue'!BG70+'Fee Revenue'!BG72+'Fee Revenue'!BG74</f>
        <v>27682500</v>
      </c>
      <c r="BG8" s="87">
        <f t="shared" ref="BG8:BG10" si="18">(BF8-BC8)/BC8</f>
        <v>0.04840084077</v>
      </c>
      <c r="BH8" s="86">
        <f>BF8/BF8</f>
        <v>1</v>
      </c>
      <c r="BI8" s="85">
        <f>'Fee Revenue'!BJ70+'Fee Revenue'!BJ72+'Fee Revenue'!BJ74</f>
        <v>28952000</v>
      </c>
      <c r="BJ8" s="87">
        <f t="shared" ref="BJ8:BJ10" si="19">(BI8-BF8)/BF8</f>
        <v>0.04585929739</v>
      </c>
      <c r="BK8" s="86">
        <f>BI8/BI8</f>
        <v>1</v>
      </c>
      <c r="BL8" s="85">
        <f>'Fee Revenue'!BM70+'Fee Revenue'!BM72+'Fee Revenue'!BM74</f>
        <v>30310000</v>
      </c>
      <c r="BM8" s="87">
        <f t="shared" ref="BM8:BM10" si="20">(BL8-BI8)/BI8</f>
        <v>0.04690522244</v>
      </c>
      <c r="BN8" s="86">
        <f>BL8/BL8</f>
        <v>1</v>
      </c>
      <c r="BO8" s="85">
        <f>'Fee Revenue'!BP70+'Fee Revenue'!BP72+'Fee Revenue'!BP74</f>
        <v>31828500</v>
      </c>
      <c r="BP8" s="87">
        <f t="shared" ref="BP8:BP10" si="21">(BO8-BL8)/BL8</f>
        <v>0.05009897724</v>
      </c>
      <c r="BQ8" s="86">
        <f>BO8/BO8</f>
        <v>1</v>
      </c>
      <c r="BR8" s="85">
        <f>'Fee Revenue'!BS70+'Fee Revenue'!BS72+'Fee Revenue'!BS74</f>
        <v>33271000</v>
      </c>
      <c r="BS8" s="87">
        <f t="shared" ref="BS8:BS10" si="22">(BR8-BO8)/BO8</f>
        <v>0.04532101733</v>
      </c>
      <c r="BT8" s="86">
        <f>BR8/BR8</f>
        <v>1</v>
      </c>
      <c r="BU8" s="85">
        <f>'Fee Revenue'!BV70+'Fee Revenue'!BV72+'Fee Revenue'!BV74</f>
        <v>34878000</v>
      </c>
      <c r="BV8" s="87">
        <f t="shared" ref="BV8:BV10" si="23">(BU8-BR8)/BR8</f>
        <v>0.0483003216</v>
      </c>
      <c r="BW8" s="86">
        <f>BU8/BU8</f>
        <v>1</v>
      </c>
      <c r="BX8" s="85">
        <f>'Fee Revenue'!BY70+'Fee Revenue'!BY72+'Fee Revenue'!BY74</f>
        <v>36573500</v>
      </c>
      <c r="BY8" s="87">
        <f t="shared" ref="BY8:BY10" si="24">(BX8-BU8)/BU8</f>
        <v>0.04861230575</v>
      </c>
      <c r="BZ8" s="86">
        <f>BX8/BX8</f>
        <v>1</v>
      </c>
      <c r="CA8" s="85">
        <f>'Fee Revenue'!CB70+'Fee Revenue'!CB72+'Fee Revenue'!CB74</f>
        <v>38269000</v>
      </c>
      <c r="CB8" s="87">
        <f t="shared" ref="CB8:CB10" si="25">(CA8-BX8)/BX8</f>
        <v>0.04635870234</v>
      </c>
      <c r="CC8" s="86">
        <f>CA8/CA8</f>
        <v>1</v>
      </c>
      <c r="CD8" s="85">
        <f>'Fee Revenue'!CE70+'Fee Revenue'!CE72+'Fee Revenue'!CE74</f>
        <v>40049000</v>
      </c>
      <c r="CE8" s="87">
        <f t="shared" ref="CE8:CE10" si="26">(CD8-CA8)/CA8</f>
        <v>0.04651284329</v>
      </c>
      <c r="CF8" s="86">
        <f>CD8/CD8</f>
        <v>1</v>
      </c>
      <c r="CG8" s="85">
        <f>'Fee Revenue'!CH70+'Fee Revenue'!CH72+'Fee Revenue'!CH74</f>
        <v>41993500</v>
      </c>
      <c r="CH8" s="87">
        <f t="shared" ref="CH8:CH10" si="27">(CG8-CD8)/CD8</f>
        <v>0.04855302255</v>
      </c>
      <c r="CI8" s="86">
        <f>CG8/CG8</f>
        <v>1</v>
      </c>
      <c r="CJ8" s="85">
        <f>'Fee Revenue'!CK70+'Fee Revenue'!CK72+'Fee Revenue'!CK74</f>
        <v>43950500</v>
      </c>
      <c r="CK8" s="87">
        <f t="shared" ref="CK8:CK10" si="28">(CJ8-CG8)/CG8</f>
        <v>0.04660245038</v>
      </c>
      <c r="CL8" s="86">
        <f>CJ8/CJ8</f>
        <v>1</v>
      </c>
      <c r="CM8" s="85">
        <f>'Fee Revenue'!CN70+'Fee Revenue'!CN72+'Fee Revenue'!CN74</f>
        <v>46059500</v>
      </c>
      <c r="CN8" s="87">
        <f t="shared" ref="CN8:CN10" si="29">(CM8-CJ8)/CJ8</f>
        <v>0.04798580221</v>
      </c>
      <c r="CO8" s="86">
        <f>CM8/CM8</f>
        <v>1</v>
      </c>
      <c r="CP8" s="1"/>
    </row>
    <row r="9" ht="13.5" customHeight="1">
      <c r="A9" s="1"/>
      <c r="B9" s="88" t="s">
        <v>100</v>
      </c>
      <c r="C9" s="89" t="s">
        <v>101</v>
      </c>
      <c r="D9" s="90">
        <f>'Fee Revenue'!E71+'Fee Revenue'!E73</f>
        <v>-3255416.667</v>
      </c>
      <c r="E9" s="37" t="s">
        <v>99</v>
      </c>
      <c r="F9" s="91">
        <f>D9/D8</f>
        <v>-0.2660469234</v>
      </c>
      <c r="G9" s="90">
        <f>'Fee Revenue'!H71+'Fee Revenue'!H73</f>
        <v>-3439000</v>
      </c>
      <c r="H9" s="92">
        <f t="shared" si="1"/>
        <v>0.05639319084</v>
      </c>
      <c r="I9" s="91">
        <f>G9/G8</f>
        <v>-0.2681481481</v>
      </c>
      <c r="J9" s="90">
        <f>'Fee Revenue'!K71+'Fee Revenue'!K73</f>
        <v>-4311833.333</v>
      </c>
      <c r="K9" s="92">
        <f t="shared" si="2"/>
        <v>0.2538044005</v>
      </c>
      <c r="L9" s="91">
        <f>J9/J8</f>
        <v>-0.319123216</v>
      </c>
      <c r="M9" s="90">
        <f>'Fee Revenue'!N71+'Fee Revenue'!N73</f>
        <v>-4528833.333</v>
      </c>
      <c r="N9" s="92">
        <f t="shared" si="3"/>
        <v>0.05032662054</v>
      </c>
      <c r="O9" s="91">
        <f>M9/M8</f>
        <v>-0.3191454377</v>
      </c>
      <c r="P9" s="90">
        <f>'Fee Revenue'!Q71+'Fee Revenue'!Q73</f>
        <v>-4745833.333</v>
      </c>
      <c r="Q9" s="92">
        <f t="shared" si="4"/>
        <v>0.04791520995</v>
      </c>
      <c r="R9" s="91">
        <f>P9/P8</f>
        <v>-0.3191656299</v>
      </c>
      <c r="S9" s="90">
        <f>'Fee Revenue'!T71+'Fee Revenue'!T73</f>
        <v>-4938833.333</v>
      </c>
      <c r="T9" s="92">
        <f t="shared" si="5"/>
        <v>0.04066725198</v>
      </c>
      <c r="U9" s="91">
        <f>S9/S8</f>
        <v>-0.3192007325</v>
      </c>
      <c r="V9" s="90">
        <f>'Fee Revenue'!W71+'Fee Revenue'!W73</f>
        <v>-5155833.333</v>
      </c>
      <c r="W9" s="92">
        <f t="shared" si="6"/>
        <v>0.04393750211</v>
      </c>
      <c r="X9" s="91">
        <f>V9/V8</f>
        <v>-0.3192169974</v>
      </c>
      <c r="Y9" s="90">
        <f>'Fee Revenue'!Z71+'Fee Revenue'!Z73</f>
        <v>-5396833.333</v>
      </c>
      <c r="Z9" s="92">
        <f t="shared" si="7"/>
        <v>0.04674317117</v>
      </c>
      <c r="AA9" s="91">
        <f>Y9/Y8</f>
        <v>-0.3192164749</v>
      </c>
      <c r="AB9" s="90">
        <f>'Fee Revenue'!AC71+'Fee Revenue'!AC73</f>
        <v>-5642000</v>
      </c>
      <c r="AC9" s="92">
        <f t="shared" si="8"/>
        <v>0.04542787437</v>
      </c>
      <c r="AD9" s="91">
        <f>AB9/AB8</f>
        <v>-0.3192259817</v>
      </c>
      <c r="AE9" s="90">
        <f>'Fee Revenue'!AF71+'Fee Revenue'!AF73</f>
        <v>-5887166.667</v>
      </c>
      <c r="AF9" s="92">
        <f t="shared" si="9"/>
        <v>0.04345385797</v>
      </c>
      <c r="AG9" s="91">
        <f>AE9/AE8</f>
        <v>-0.3193039548</v>
      </c>
      <c r="AH9" s="90">
        <f>'Fee Revenue'!AI71+'Fee Revenue'!AI73</f>
        <v>-6184500</v>
      </c>
      <c r="AI9" s="92">
        <f t="shared" si="10"/>
        <v>0.05050533647</v>
      </c>
      <c r="AJ9" s="91">
        <f>AH9/AH8</f>
        <v>-0.3192906373</v>
      </c>
      <c r="AK9" s="90">
        <f>'Fee Revenue'!AL71+'Fee Revenue'!AL73</f>
        <v>-6481833.333</v>
      </c>
      <c r="AL9" s="92">
        <f t="shared" si="11"/>
        <v>0.0480771822</v>
      </c>
      <c r="AM9" s="91">
        <f>AK9/AK8</f>
        <v>-0.3193414624</v>
      </c>
      <c r="AN9" s="90">
        <f>'Fee Revenue'!AO71+'Fee Revenue'!AO73</f>
        <v>-6755166.667</v>
      </c>
      <c r="AO9" s="92">
        <f t="shared" si="12"/>
        <v>0.04216913939</v>
      </c>
      <c r="AP9" s="91">
        <f>AN9/AN8</f>
        <v>-0.3193403771</v>
      </c>
      <c r="AQ9" s="90">
        <f>'Fee Revenue'!AR71+'Fee Revenue'!AR73</f>
        <v>-7052500</v>
      </c>
      <c r="AR9" s="92">
        <f t="shared" si="13"/>
        <v>0.04401569169</v>
      </c>
      <c r="AS9" s="91">
        <f>AQ9/AQ8</f>
        <v>-0.3193850055</v>
      </c>
      <c r="AT9" s="90">
        <f>'Fee Revenue'!AU71+'Fee Revenue'!AU73</f>
        <v>-7378000</v>
      </c>
      <c r="AU9" s="92">
        <f t="shared" si="14"/>
        <v>0.04615384615</v>
      </c>
      <c r="AV9" s="91">
        <f>AT9/AT8</f>
        <v>-0.3194215949</v>
      </c>
      <c r="AW9" s="90">
        <f>'Fee Revenue'!AX71+'Fee Revenue'!AX73</f>
        <v>-7703500</v>
      </c>
      <c r="AX9" s="92">
        <f t="shared" si="15"/>
        <v>0.04411764706</v>
      </c>
      <c r="AY9" s="91">
        <f>AW9/AW8</f>
        <v>-0.3194021187</v>
      </c>
      <c r="AZ9" s="90">
        <f>'Fee Revenue'!BA71+'Fee Revenue'!BA73</f>
        <v>-8057166.667</v>
      </c>
      <c r="BA9" s="92">
        <f t="shared" si="16"/>
        <v>0.04590986781</v>
      </c>
      <c r="BB9" s="91">
        <f>AZ9/AZ8</f>
        <v>-0.3194309539</v>
      </c>
      <c r="BC9" s="90">
        <f>'Fee Revenue'!BD71+'Fee Revenue'!BD73</f>
        <v>-8434833.333</v>
      </c>
      <c r="BD9" s="92">
        <f t="shared" si="17"/>
        <v>0.04687338394</v>
      </c>
      <c r="BE9" s="91">
        <f>BC9/BC8</f>
        <v>-0.3194468115</v>
      </c>
      <c r="BF9" s="90">
        <f>'Fee Revenue'!BG71+'Fee Revenue'!BG73</f>
        <v>-8844833.333</v>
      </c>
      <c r="BG9" s="92">
        <f t="shared" si="18"/>
        <v>0.04860795511</v>
      </c>
      <c r="BH9" s="91">
        <f>BF9/BF8</f>
        <v>-0.319509919</v>
      </c>
      <c r="BI9" s="90">
        <f>'Fee Revenue'!BJ71+'Fee Revenue'!BJ73</f>
        <v>-9250666.667</v>
      </c>
      <c r="BJ9" s="92">
        <f t="shared" si="19"/>
        <v>0.04588366089</v>
      </c>
      <c r="BK9" s="91">
        <f>BI9/BI8</f>
        <v>-0.3195173621</v>
      </c>
      <c r="BL9" s="90">
        <f>'Fee Revenue'!BM71+'Fee Revenue'!BM73</f>
        <v>-9684666.667</v>
      </c>
      <c r="BM9" s="92">
        <f t="shared" si="20"/>
        <v>0.04691553762</v>
      </c>
      <c r="BN9" s="91">
        <f>BL9/BL8</f>
        <v>-0.3195205103</v>
      </c>
      <c r="BO9" s="90">
        <f>'Fee Revenue'!BP71+'Fee Revenue'!BP73</f>
        <v>-10170833.33</v>
      </c>
      <c r="BP9" s="92">
        <f t="shared" si="21"/>
        <v>0.05019962828</v>
      </c>
      <c r="BQ9" s="91">
        <f>BO9/BO8</f>
        <v>-0.319551136</v>
      </c>
      <c r="BR9" s="90">
        <f>'Fee Revenue'!BS71+'Fee Revenue'!BS73</f>
        <v>-10633000</v>
      </c>
      <c r="BS9" s="92">
        <f t="shared" si="22"/>
        <v>0.04544039328</v>
      </c>
      <c r="BT9" s="91">
        <f>BR9/BR8</f>
        <v>-0.3195876289</v>
      </c>
      <c r="BU9" s="90">
        <f>'Fee Revenue'!BV71+'Fee Revenue'!BV73</f>
        <v>-11147333.33</v>
      </c>
      <c r="BV9" s="92">
        <f t="shared" si="23"/>
        <v>0.0483714223</v>
      </c>
      <c r="BW9" s="91">
        <f>BU9/BU8</f>
        <v>-0.3196093048</v>
      </c>
      <c r="BX9" s="90">
        <f>'Fee Revenue'!BY71+'Fee Revenue'!BY73</f>
        <v>-11689833.33</v>
      </c>
      <c r="BY9" s="92">
        <f t="shared" si="24"/>
        <v>0.04866634771</v>
      </c>
      <c r="BZ9" s="91">
        <f>BX9/BX8</f>
        <v>-0.3196257764</v>
      </c>
      <c r="CA9" s="90">
        <f>'Fee Revenue'!CB71+'Fee Revenue'!CB73</f>
        <v>-12232333.33</v>
      </c>
      <c r="CB9" s="92">
        <f t="shared" si="25"/>
        <v>0.04640784727</v>
      </c>
      <c r="CC9" s="91">
        <f>CA9/CA8</f>
        <v>-0.3196407885</v>
      </c>
      <c r="CD9" s="90">
        <f>'Fee Revenue'!CE71+'Fee Revenue'!CE73</f>
        <v>-12803000</v>
      </c>
      <c r="CE9" s="92">
        <f t="shared" si="26"/>
        <v>0.0466523149</v>
      </c>
      <c r="CF9" s="91">
        <f>CD9/CD8</f>
        <v>-0.3196833878</v>
      </c>
      <c r="CG9" s="90">
        <f>'Fee Revenue'!CH71+'Fee Revenue'!CH73</f>
        <v>-13425833.33</v>
      </c>
      <c r="CH9" s="92">
        <f t="shared" si="27"/>
        <v>0.04864745242</v>
      </c>
      <c r="CI9" s="91">
        <f>CG9/CG8</f>
        <v>-0.3197121777</v>
      </c>
      <c r="CJ9" s="90">
        <f>'Fee Revenue'!CK71+'Fee Revenue'!CK73</f>
        <v>-14052833.33</v>
      </c>
      <c r="CK9" s="92">
        <f t="shared" si="28"/>
        <v>0.04670101173</v>
      </c>
      <c r="CL9" s="91">
        <f>CJ9/CJ8</f>
        <v>-0.3197422858</v>
      </c>
      <c r="CM9" s="90">
        <f>'Fee Revenue'!CN71+'Fee Revenue'!CN73</f>
        <v>-14727833.33</v>
      </c>
      <c r="CN9" s="92">
        <f t="shared" si="29"/>
        <v>0.04803301825</v>
      </c>
      <c r="CO9" s="91">
        <f>CM9/CM8</f>
        <v>-0.3197566915</v>
      </c>
      <c r="CP9" s="1"/>
    </row>
    <row r="10" ht="13.5" customHeight="1">
      <c r="A10" s="1"/>
      <c r="B10" s="82" t="s">
        <v>102</v>
      </c>
      <c r="C10" s="93" t="s">
        <v>103</v>
      </c>
      <c r="D10" s="94">
        <f>'Fee Revenue'!E75</f>
        <v>8980833.333</v>
      </c>
      <c r="E10" s="35" t="s">
        <v>99</v>
      </c>
      <c r="F10" s="86">
        <f>D10/D8</f>
        <v>0.7339530766</v>
      </c>
      <c r="G10" s="94">
        <f>'Fee Revenue'!H75</f>
        <v>9386000</v>
      </c>
      <c r="H10" s="87">
        <f t="shared" si="1"/>
        <v>0.0451145959</v>
      </c>
      <c r="I10" s="86">
        <f>G10/G8</f>
        <v>0.7318518519</v>
      </c>
      <c r="J10" s="94">
        <f>'Fee Revenue'!K75</f>
        <v>9199666.667</v>
      </c>
      <c r="K10" s="87">
        <f t="shared" si="2"/>
        <v>-0.01985226223</v>
      </c>
      <c r="L10" s="86">
        <f>J10/J8</f>
        <v>0.680876784</v>
      </c>
      <c r="M10" s="94">
        <f>'Fee Revenue'!N75</f>
        <v>9661666.667</v>
      </c>
      <c r="N10" s="87">
        <f t="shared" si="3"/>
        <v>0.05021921084</v>
      </c>
      <c r="O10" s="86">
        <f>M10/M8</f>
        <v>0.6808545623</v>
      </c>
      <c r="P10" s="94">
        <f>'Fee Revenue'!Q75</f>
        <v>10123666.67</v>
      </c>
      <c r="Q10" s="87">
        <f t="shared" si="4"/>
        <v>0.04781783681</v>
      </c>
      <c r="R10" s="86">
        <f>P10/P8</f>
        <v>0.6808343701</v>
      </c>
      <c r="S10" s="94">
        <f>'Fee Revenue'!T75</f>
        <v>10533666.67</v>
      </c>
      <c r="T10" s="87">
        <f t="shared" si="5"/>
        <v>0.04049916038</v>
      </c>
      <c r="U10" s="86">
        <f>S10/S8</f>
        <v>0.6807992675</v>
      </c>
      <c r="V10" s="94">
        <f>'Fee Revenue'!W75</f>
        <v>10995666.67</v>
      </c>
      <c r="W10" s="87">
        <f t="shared" si="6"/>
        <v>0.04385937154</v>
      </c>
      <c r="X10" s="86">
        <f>V10/V8</f>
        <v>0.6807830026</v>
      </c>
      <c r="Y10" s="94">
        <f>'Fee Revenue'!Z75</f>
        <v>11509666.67</v>
      </c>
      <c r="Z10" s="87">
        <f t="shared" si="7"/>
        <v>0.0467456877</v>
      </c>
      <c r="AA10" s="86">
        <f>Y10/Y8</f>
        <v>0.6807835251</v>
      </c>
      <c r="AB10" s="94">
        <f>'Fee Revenue'!AC75</f>
        <v>12032000</v>
      </c>
      <c r="AC10" s="87">
        <f t="shared" si="8"/>
        <v>0.04538214255</v>
      </c>
      <c r="AD10" s="86">
        <f>AB10/AB8</f>
        <v>0.6807740183</v>
      </c>
      <c r="AE10" s="94">
        <f>'Fee Revenue'!AF75</f>
        <v>12550333.33</v>
      </c>
      <c r="AF10" s="87">
        <f t="shared" si="9"/>
        <v>0.0430795656</v>
      </c>
      <c r="AG10" s="86">
        <f>AE10/AE8</f>
        <v>0.6806960452</v>
      </c>
      <c r="AH10" s="94">
        <f>'Fee Revenue'!AI75</f>
        <v>13185000</v>
      </c>
      <c r="AI10" s="87">
        <f t="shared" si="10"/>
        <v>0.05056970598</v>
      </c>
      <c r="AJ10" s="86">
        <f>AH10/AH8</f>
        <v>0.6807093627</v>
      </c>
      <c r="AK10" s="94">
        <f>'Fee Revenue'!AL75</f>
        <v>13815666.67</v>
      </c>
      <c r="AL10" s="87">
        <f t="shared" si="11"/>
        <v>0.04783213247</v>
      </c>
      <c r="AM10" s="86">
        <f>AK10/AK8</f>
        <v>0.6806585376</v>
      </c>
      <c r="AN10" s="94">
        <f>'Fee Revenue'!AO75</f>
        <v>14398333.33</v>
      </c>
      <c r="AO10" s="87">
        <f t="shared" si="12"/>
        <v>0.04217434314</v>
      </c>
      <c r="AP10" s="86">
        <f>AN10/AN8</f>
        <v>0.6806596229</v>
      </c>
      <c r="AQ10" s="94">
        <f>'Fee Revenue'!AR75</f>
        <v>15029000</v>
      </c>
      <c r="AR10" s="87">
        <f t="shared" si="13"/>
        <v>0.0438013659</v>
      </c>
      <c r="AS10" s="86">
        <f>AQ10/AQ8</f>
        <v>0.6806149945</v>
      </c>
      <c r="AT10" s="94">
        <f>'Fee Revenue'!AU75</f>
        <v>15720000</v>
      </c>
      <c r="AU10" s="87">
        <f t="shared" si="14"/>
        <v>0.0459777763</v>
      </c>
      <c r="AV10" s="86">
        <f>AT10/AT8</f>
        <v>0.6805784051</v>
      </c>
      <c r="AW10" s="94">
        <f>'Fee Revenue'!AX75</f>
        <v>16415000</v>
      </c>
      <c r="AX10" s="87">
        <f t="shared" si="15"/>
        <v>0.04421119593</v>
      </c>
      <c r="AY10" s="86">
        <f>AW10/AW8</f>
        <v>0.6805978813</v>
      </c>
      <c r="AZ10" s="94">
        <f>'Fee Revenue'!BA75</f>
        <v>17166333.33</v>
      </c>
      <c r="BA10" s="87">
        <f t="shared" si="16"/>
        <v>0.04577114428</v>
      </c>
      <c r="BB10" s="86">
        <f>AZ10/AZ8</f>
        <v>0.6805690461</v>
      </c>
      <c r="BC10" s="94">
        <f>'Fee Revenue'!BD75</f>
        <v>17969666.67</v>
      </c>
      <c r="BD10" s="87">
        <f t="shared" si="17"/>
        <v>0.04679702518</v>
      </c>
      <c r="BE10" s="86">
        <f>BC10/BC8</f>
        <v>0.6805531885</v>
      </c>
      <c r="BF10" s="94">
        <f>'Fee Revenue'!BG75</f>
        <v>18837666.67</v>
      </c>
      <c r="BG10" s="87">
        <f t="shared" si="18"/>
        <v>0.04830362277</v>
      </c>
      <c r="BH10" s="86">
        <f>BF10/BF8</f>
        <v>0.680490081</v>
      </c>
      <c r="BI10" s="94">
        <f>'Fee Revenue'!BJ75</f>
        <v>19701333.33</v>
      </c>
      <c r="BJ10" s="87">
        <f t="shared" si="19"/>
        <v>0.04584785801</v>
      </c>
      <c r="BK10" s="86">
        <f>BI10/BI8</f>
        <v>0.6804826379</v>
      </c>
      <c r="BL10" s="94">
        <f>'Fee Revenue'!BM75</f>
        <v>20625333.33</v>
      </c>
      <c r="BM10" s="87">
        <f t="shared" si="20"/>
        <v>0.04690037899</v>
      </c>
      <c r="BN10" s="86">
        <f>BL10/BL8</f>
        <v>0.6804794897</v>
      </c>
      <c r="BO10" s="94">
        <f>'Fee Revenue'!BP75</f>
        <v>21657666.67</v>
      </c>
      <c r="BP10" s="87">
        <f t="shared" si="21"/>
        <v>0.05005171634</v>
      </c>
      <c r="BQ10" s="86">
        <f>BO10/BO8</f>
        <v>0.680448864</v>
      </c>
      <c r="BR10" s="94">
        <f>'Fee Revenue'!BS75</f>
        <v>22638000</v>
      </c>
      <c r="BS10" s="87">
        <f t="shared" si="22"/>
        <v>0.04526495621</v>
      </c>
      <c r="BT10" s="86">
        <f>BR10/BR8</f>
        <v>0.6804123711</v>
      </c>
      <c r="BU10" s="94">
        <f>'Fee Revenue'!BV75</f>
        <v>23730666.67</v>
      </c>
      <c r="BV10" s="87">
        <f t="shared" si="23"/>
        <v>0.04826692582</v>
      </c>
      <c r="BW10" s="86">
        <f>BU10/BU8</f>
        <v>0.6803906952</v>
      </c>
      <c r="BX10" s="94">
        <f>'Fee Revenue'!BY75</f>
        <v>24883666.67</v>
      </c>
      <c r="BY10" s="87">
        <f t="shared" si="24"/>
        <v>0.04858691988</v>
      </c>
      <c r="BZ10" s="86">
        <f>BX10/BX8</f>
        <v>0.6803742236</v>
      </c>
      <c r="CA10" s="94">
        <f>'Fee Revenue'!CB75</f>
        <v>26036666.67</v>
      </c>
      <c r="CB10" s="87">
        <f t="shared" si="25"/>
        <v>0.04633561506</v>
      </c>
      <c r="CC10" s="86">
        <f>CA10/CA8</f>
        <v>0.6803592115</v>
      </c>
      <c r="CD10" s="94">
        <f>'Fee Revenue'!CE75</f>
        <v>27246000</v>
      </c>
      <c r="CE10" s="87">
        <f t="shared" si="26"/>
        <v>0.04644731789</v>
      </c>
      <c r="CF10" s="86">
        <f>CD10/CD8</f>
        <v>0.6803166122</v>
      </c>
      <c r="CG10" s="94">
        <f>'Fee Revenue'!CH75</f>
        <v>28567666.67</v>
      </c>
      <c r="CH10" s="87">
        <f t="shared" si="27"/>
        <v>0.04850864959</v>
      </c>
      <c r="CI10" s="86">
        <f>CG10/CG8</f>
        <v>0.6802878223</v>
      </c>
      <c r="CJ10" s="94">
        <f>'Fee Revenue'!CK75</f>
        <v>29897666.67</v>
      </c>
      <c r="CK10" s="87">
        <f t="shared" si="28"/>
        <v>0.04655612989</v>
      </c>
      <c r="CL10" s="86">
        <f>CJ10/CJ8</f>
        <v>0.6802577142</v>
      </c>
      <c r="CM10" s="94">
        <f>'Fee Revenue'!CN75</f>
        <v>31331666.67</v>
      </c>
      <c r="CN10" s="87">
        <f t="shared" si="29"/>
        <v>0.0479636092</v>
      </c>
      <c r="CO10" s="86">
        <f>CM10/CM8</f>
        <v>0.6802433085</v>
      </c>
      <c r="CP10" s="1"/>
    </row>
    <row r="11" ht="9.75" customHeight="1">
      <c r="A11" s="1"/>
      <c r="B11" s="82"/>
      <c r="C11" s="84"/>
      <c r="D11" s="85"/>
      <c r="E11" s="32"/>
      <c r="F11" s="86"/>
      <c r="G11" s="85"/>
      <c r="H11" s="87"/>
      <c r="I11" s="86"/>
      <c r="J11" s="85"/>
      <c r="K11" s="87"/>
      <c r="L11" s="86"/>
      <c r="M11" s="85"/>
      <c r="N11" s="87"/>
      <c r="O11" s="86"/>
      <c r="P11" s="85"/>
      <c r="Q11" s="87"/>
      <c r="R11" s="86"/>
      <c r="S11" s="85"/>
      <c r="T11" s="87"/>
      <c r="U11" s="86"/>
      <c r="V11" s="85"/>
      <c r="W11" s="87"/>
      <c r="X11" s="86"/>
      <c r="Y11" s="85"/>
      <c r="Z11" s="87"/>
      <c r="AA11" s="86"/>
      <c r="AB11" s="85"/>
      <c r="AC11" s="87"/>
      <c r="AD11" s="86"/>
      <c r="AE11" s="85"/>
      <c r="AF11" s="87"/>
      <c r="AG11" s="86"/>
      <c r="AH11" s="85"/>
      <c r="AI11" s="87"/>
      <c r="AJ11" s="86"/>
      <c r="AK11" s="85"/>
      <c r="AL11" s="87"/>
      <c r="AM11" s="86"/>
      <c r="AN11" s="85"/>
      <c r="AO11" s="87"/>
      <c r="AP11" s="86"/>
      <c r="AQ11" s="85"/>
      <c r="AR11" s="87"/>
      <c r="AS11" s="86"/>
      <c r="AT11" s="85"/>
      <c r="AU11" s="87"/>
      <c r="AV11" s="86"/>
      <c r="AW11" s="85"/>
      <c r="AX11" s="87"/>
      <c r="AY11" s="86"/>
      <c r="AZ11" s="85"/>
      <c r="BA11" s="87"/>
      <c r="BB11" s="86"/>
      <c r="BC11" s="85"/>
      <c r="BD11" s="87"/>
      <c r="BE11" s="86"/>
      <c r="BF11" s="85"/>
      <c r="BG11" s="87"/>
      <c r="BH11" s="86"/>
      <c r="BI11" s="85"/>
      <c r="BJ11" s="87"/>
      <c r="BK11" s="86"/>
      <c r="BL11" s="85"/>
      <c r="BM11" s="87"/>
      <c r="BN11" s="86"/>
      <c r="BO11" s="85"/>
      <c r="BP11" s="87"/>
      <c r="BQ11" s="86"/>
      <c r="BR11" s="85"/>
      <c r="BS11" s="87"/>
      <c r="BT11" s="86"/>
      <c r="BU11" s="85"/>
      <c r="BV11" s="87"/>
      <c r="BW11" s="86"/>
      <c r="BX11" s="85"/>
      <c r="BY11" s="87"/>
      <c r="BZ11" s="86"/>
      <c r="CA11" s="85"/>
      <c r="CB11" s="87"/>
      <c r="CC11" s="86"/>
      <c r="CD11" s="85"/>
      <c r="CE11" s="87"/>
      <c r="CF11" s="86"/>
      <c r="CG11" s="85"/>
      <c r="CH11" s="87"/>
      <c r="CI11" s="86"/>
      <c r="CJ11" s="85"/>
      <c r="CK11" s="87"/>
      <c r="CL11" s="86"/>
      <c r="CM11" s="85"/>
      <c r="CN11" s="87"/>
      <c r="CO11" s="86"/>
      <c r="CP11" s="1"/>
    </row>
    <row r="12" ht="13.5" customHeight="1">
      <c r="A12" s="1"/>
      <c r="B12" s="82">
        <v>2.0</v>
      </c>
      <c r="C12" s="83" t="s">
        <v>104</v>
      </c>
      <c r="D12" s="85"/>
      <c r="E12" s="32"/>
      <c r="F12" s="86"/>
      <c r="G12" s="85"/>
      <c r="H12" s="87"/>
      <c r="I12" s="86"/>
      <c r="J12" s="85"/>
      <c r="K12" s="87"/>
      <c r="L12" s="86"/>
      <c r="M12" s="85"/>
      <c r="N12" s="87"/>
      <c r="O12" s="86"/>
      <c r="P12" s="85"/>
      <c r="Q12" s="87"/>
      <c r="R12" s="86"/>
      <c r="S12" s="85"/>
      <c r="T12" s="87"/>
      <c r="U12" s="86"/>
      <c r="V12" s="85"/>
      <c r="W12" s="87"/>
      <c r="X12" s="86"/>
      <c r="Y12" s="85"/>
      <c r="Z12" s="87"/>
      <c r="AA12" s="86"/>
      <c r="AB12" s="85"/>
      <c r="AC12" s="87"/>
      <c r="AD12" s="86"/>
      <c r="AE12" s="85"/>
      <c r="AF12" s="87"/>
      <c r="AG12" s="86"/>
      <c r="AH12" s="85"/>
      <c r="AI12" s="87"/>
      <c r="AJ12" s="86"/>
      <c r="AK12" s="85"/>
      <c r="AL12" s="87"/>
      <c r="AM12" s="86"/>
      <c r="AN12" s="85"/>
      <c r="AO12" s="87"/>
      <c r="AP12" s="86"/>
      <c r="AQ12" s="85"/>
      <c r="AR12" s="87"/>
      <c r="AS12" s="86"/>
      <c r="AT12" s="85"/>
      <c r="AU12" s="87"/>
      <c r="AV12" s="86"/>
      <c r="AW12" s="85"/>
      <c r="AX12" s="87"/>
      <c r="AY12" s="86"/>
      <c r="AZ12" s="85"/>
      <c r="BA12" s="87"/>
      <c r="BB12" s="86"/>
      <c r="BC12" s="85"/>
      <c r="BD12" s="87"/>
      <c r="BE12" s="86"/>
      <c r="BF12" s="85"/>
      <c r="BG12" s="87"/>
      <c r="BH12" s="86"/>
      <c r="BI12" s="85"/>
      <c r="BJ12" s="87"/>
      <c r="BK12" s="86"/>
      <c r="BL12" s="85"/>
      <c r="BM12" s="87"/>
      <c r="BN12" s="86"/>
      <c r="BO12" s="85"/>
      <c r="BP12" s="87"/>
      <c r="BQ12" s="86"/>
      <c r="BR12" s="85"/>
      <c r="BS12" s="87"/>
      <c r="BT12" s="86"/>
      <c r="BU12" s="85"/>
      <c r="BV12" s="87"/>
      <c r="BW12" s="86"/>
      <c r="BX12" s="85"/>
      <c r="BY12" s="87"/>
      <c r="BZ12" s="86"/>
      <c r="CA12" s="85"/>
      <c r="CB12" s="87"/>
      <c r="CC12" s="86"/>
      <c r="CD12" s="85"/>
      <c r="CE12" s="87"/>
      <c r="CF12" s="86"/>
      <c r="CG12" s="85"/>
      <c r="CH12" s="87"/>
      <c r="CI12" s="86"/>
      <c r="CJ12" s="85"/>
      <c r="CK12" s="87"/>
      <c r="CL12" s="86"/>
      <c r="CM12" s="85"/>
      <c r="CN12" s="87"/>
      <c r="CO12" s="86"/>
      <c r="CP12" s="1"/>
    </row>
    <row r="13" ht="13.5" customHeight="1">
      <c r="A13" s="1"/>
      <c r="B13" s="82" t="s">
        <v>97</v>
      </c>
      <c r="C13" s="84" t="s">
        <v>105</v>
      </c>
      <c r="D13" s="85">
        <f>'Fee Revenue'!E51</f>
        <v>5370333.333</v>
      </c>
      <c r="E13" s="32" t="s">
        <v>99</v>
      </c>
      <c r="F13" s="86">
        <f t="shared" ref="F13:F15" si="30">D13/D$8</f>
        <v>0.4388871863</v>
      </c>
      <c r="G13" s="85">
        <f>'Fee Revenue'!H51</f>
        <v>5591750</v>
      </c>
      <c r="H13" s="87"/>
      <c r="I13" s="86">
        <f t="shared" ref="I13:I15" si="31">G13/G$8</f>
        <v>0.4360038986</v>
      </c>
      <c r="J13" s="85">
        <f>'Fee Revenue'!K51</f>
        <v>5221666.667</v>
      </c>
      <c r="K13" s="87"/>
      <c r="L13" s="86">
        <f t="shared" ref="L13:L15" si="32">J13/J$8</f>
        <v>0.386460916</v>
      </c>
      <c r="M13" s="85">
        <f>'Fee Revenue'!N51</f>
        <v>5439583.333</v>
      </c>
      <c r="N13" s="87"/>
      <c r="O13" s="86">
        <f t="shared" ref="O13:O15" si="33">M13/M$8</f>
        <v>0.3833256991</v>
      </c>
      <c r="P13" s="85">
        <f>'Fee Revenue'!Q51</f>
        <v>5657500</v>
      </c>
      <c r="Q13" s="87"/>
      <c r="R13" s="86">
        <f t="shared" ref="R13:R15" si="34">P13/P$8</f>
        <v>0.380476815</v>
      </c>
      <c r="S13" s="85">
        <f>'Fee Revenue'!T51</f>
        <v>5823416.667</v>
      </c>
      <c r="T13" s="87"/>
      <c r="U13" s="86">
        <f t="shared" ref="U13:U15" si="35">S13/S$8</f>
        <v>0.376372058</v>
      </c>
      <c r="V13" s="85">
        <f>'Fee Revenue'!W51</f>
        <v>6041333.333</v>
      </c>
      <c r="W13" s="87"/>
      <c r="X13" s="86">
        <f t="shared" ref="X13:X15" si="36">V13/V$8</f>
        <v>0.3740416267</v>
      </c>
      <c r="Y13" s="85">
        <f>'Fee Revenue'!Z51</f>
        <v>6250916.667</v>
      </c>
      <c r="Z13" s="87"/>
      <c r="AA13" s="86">
        <f t="shared" ref="AA13:AA15" si="37">Y13/Y$8</f>
        <v>0.3697345203</v>
      </c>
      <c r="AB13" s="85">
        <f>'Fee Revenue'!AC51</f>
        <v>6468833.333</v>
      </c>
      <c r="AC13" s="87"/>
      <c r="AD13" s="86">
        <f t="shared" ref="AD13:AD15" si="38">AB13/AB$8</f>
        <v>0.3660084493</v>
      </c>
      <c r="AE13" s="85">
        <f>'Fee Revenue'!AF51</f>
        <v>6695083.333</v>
      </c>
      <c r="AF13" s="87"/>
      <c r="AG13" s="86">
        <f t="shared" ref="AG13:AG15" si="39">AE13/AE$8</f>
        <v>0.3631231638</v>
      </c>
      <c r="AH13" s="85">
        <f>'Fee Revenue'!AI51</f>
        <v>6965000</v>
      </c>
      <c r="AI13" s="87"/>
      <c r="AJ13" s="86">
        <f t="shared" ref="AJ13:AJ15" si="40">AH13/AH$8</f>
        <v>0.359585947</v>
      </c>
      <c r="AK13" s="85">
        <f>'Fee Revenue'!AL51</f>
        <v>7243250</v>
      </c>
      <c r="AL13" s="87"/>
      <c r="AM13" s="86">
        <f t="shared" ref="AM13:AM15" si="41">AK13/AK$8</f>
        <v>0.3568542924</v>
      </c>
      <c r="AN13" s="85">
        <f>'Fee Revenue'!AO51</f>
        <v>7461166.667</v>
      </c>
      <c r="AO13" s="87"/>
      <c r="AP13" s="86">
        <f t="shared" ref="AP13:AP15" si="42">AN13/AN$8</f>
        <v>0.3527154687</v>
      </c>
      <c r="AQ13" s="85">
        <f>'Fee Revenue'!AR51</f>
        <v>7679083.333</v>
      </c>
      <c r="AR13" s="87"/>
      <c r="AS13" s="86">
        <f t="shared" ref="AS13:AS15" si="43">AQ13/AQ$8</f>
        <v>0.3477609462</v>
      </c>
      <c r="AT13" s="85">
        <f>'Fee Revenue'!AU51</f>
        <v>7957333.333</v>
      </c>
      <c r="AU13" s="87"/>
      <c r="AV13" s="86">
        <f t="shared" ref="AV13:AV15" si="44">AT13/AT$8</f>
        <v>0.3445031316</v>
      </c>
      <c r="AW13" s="85">
        <f>'Fee Revenue'!AX51</f>
        <v>8227250</v>
      </c>
      <c r="AX13" s="87"/>
      <c r="AY13" s="86">
        <f t="shared" ref="AY13:AY15" si="45">AW13/AW$8</f>
        <v>0.3411178141</v>
      </c>
      <c r="AZ13" s="85">
        <f>'Fee Revenue'!BA51</f>
        <v>8505500</v>
      </c>
      <c r="BA13" s="87"/>
      <c r="BB13" s="86">
        <f t="shared" ref="BB13:BB15" si="46">AZ13/AZ$8</f>
        <v>0.3372053839</v>
      </c>
      <c r="BC13" s="85">
        <f>'Fee Revenue'!BD51</f>
        <v>8820666.667</v>
      </c>
      <c r="BD13" s="87"/>
      <c r="BE13" s="86">
        <f t="shared" ref="BE13:BE15" si="47">BC13/BC$8</f>
        <v>0.3340592197</v>
      </c>
      <c r="BF13" s="85">
        <f>'Fee Revenue'!BG51</f>
        <v>9152500</v>
      </c>
      <c r="BG13" s="87"/>
      <c r="BH13" s="86">
        <f t="shared" ref="BH13:BH15" si="48">BF13/BF$8</f>
        <v>0.3306240405</v>
      </c>
      <c r="BI13" s="85">
        <f>'Fee Revenue'!BJ51</f>
        <v>9467666.667</v>
      </c>
      <c r="BJ13" s="87"/>
      <c r="BK13" s="86">
        <f t="shared" ref="BK13:BK15" si="49">BI13/BI$8</f>
        <v>0.3270125265</v>
      </c>
      <c r="BL13" s="85">
        <f>'Fee Revenue'!BM51</f>
        <v>9782833.333</v>
      </c>
      <c r="BM13" s="87"/>
      <c r="BN13" s="86">
        <f t="shared" ref="BN13:BN15" si="50">BL13/BL$8</f>
        <v>0.3227592654</v>
      </c>
      <c r="BO13" s="85">
        <f>'Fee Revenue'!BP51</f>
        <v>10158333.33</v>
      </c>
      <c r="BP13" s="87"/>
      <c r="BQ13" s="86">
        <f t="shared" ref="BQ13:BQ15" si="51">BO13/BO$8</f>
        <v>0.3191584063</v>
      </c>
      <c r="BR13" s="85">
        <f>'Fee Revenue'!BS51</f>
        <v>10481833.33</v>
      </c>
      <c r="BS13" s="87"/>
      <c r="BT13" s="86">
        <f t="shared" ref="BT13:BT15" si="52">BR13/BR$8</f>
        <v>0.3150441325</v>
      </c>
      <c r="BU13" s="85">
        <f>'Fee Revenue'!BV51</f>
        <v>10857333.33</v>
      </c>
      <c r="BV13" s="87"/>
      <c r="BW13" s="86">
        <f t="shared" ref="BW13:BW15" si="53">BU13/BU$8</f>
        <v>0.3112946079</v>
      </c>
      <c r="BX13" s="85">
        <f>'Fee Revenue'!BY51</f>
        <v>11232833.33</v>
      </c>
      <c r="BY13" s="87"/>
      <c r="BZ13" s="86">
        <f t="shared" ref="BZ13:BZ15" si="54">BX13/BX$8</f>
        <v>0.3071303904</v>
      </c>
      <c r="CA13" s="85">
        <f>'Fee Revenue'!CB51</f>
        <v>11608333.33</v>
      </c>
      <c r="CB13" s="87"/>
      <c r="CC13" s="86">
        <f t="shared" ref="CC13:CC15" si="55">CA13/CA$8</f>
        <v>0.3033351625</v>
      </c>
      <c r="CD13" s="85">
        <f>'Fee Revenue'!CE51</f>
        <v>11992166.67</v>
      </c>
      <c r="CE13" s="87"/>
      <c r="CF13" s="86">
        <f t="shared" ref="CF13:CF15" si="56">CD13/CD$8</f>
        <v>0.2994373559</v>
      </c>
      <c r="CG13" s="85">
        <f>'Fee Revenue'!CH51</f>
        <v>12428000</v>
      </c>
      <c r="CH13" s="87"/>
      <c r="CI13" s="86">
        <f t="shared" ref="CI13:CI15" si="57">CG13/CG$8</f>
        <v>0.2959505638</v>
      </c>
      <c r="CJ13" s="85">
        <f>'Fee Revenue'!CK51</f>
        <v>12811833.33</v>
      </c>
      <c r="CK13" s="87"/>
      <c r="CL13" s="86">
        <f t="shared" ref="CL13:CL15" si="58">CJ13/CJ$8</f>
        <v>0.2915059745</v>
      </c>
      <c r="CM13" s="85">
        <f>'Fee Revenue'!CN51</f>
        <v>13239333.33</v>
      </c>
      <c r="CN13" s="87"/>
      <c r="CO13" s="86">
        <f t="shared" ref="CO13:CO15" si="59">CM13/CM$8</f>
        <v>0.2874397971</v>
      </c>
      <c r="CP13" s="1"/>
    </row>
    <row r="14" ht="13.5" customHeight="1">
      <c r="A14" s="1"/>
      <c r="B14" s="88" t="s">
        <v>100</v>
      </c>
      <c r="C14" s="89" t="s">
        <v>106</v>
      </c>
      <c r="D14" s="90">
        <f>'Fee Revenue'!E59</f>
        <v>512833.3333</v>
      </c>
      <c r="E14" s="37" t="s">
        <v>99</v>
      </c>
      <c r="F14" s="91">
        <f t="shared" si="30"/>
        <v>0.04191098852</v>
      </c>
      <c r="G14" s="90">
        <f>'Fee Revenue'!H59</f>
        <v>527916.6667</v>
      </c>
      <c r="H14" s="92"/>
      <c r="I14" s="91">
        <f t="shared" si="31"/>
        <v>0.04116309292</v>
      </c>
      <c r="J14" s="90">
        <f>'Fee Revenue'!K59</f>
        <v>543000</v>
      </c>
      <c r="K14" s="92"/>
      <c r="L14" s="91">
        <f t="shared" si="32"/>
        <v>0.04018798801</v>
      </c>
      <c r="M14" s="90">
        <f>'Fee Revenue'!N59</f>
        <v>558083.3333</v>
      </c>
      <c r="N14" s="92"/>
      <c r="O14" s="91">
        <f t="shared" si="33"/>
        <v>0.03932795415</v>
      </c>
      <c r="P14" s="90">
        <f>'Fee Revenue'!Q59</f>
        <v>573166.6667</v>
      </c>
      <c r="Q14" s="92"/>
      <c r="R14" s="91">
        <f t="shared" si="34"/>
        <v>0.03854646536</v>
      </c>
      <c r="S14" s="90">
        <f>'Fee Revenue'!T59</f>
        <v>588250</v>
      </c>
      <c r="T14" s="92"/>
      <c r="U14" s="91">
        <f t="shared" si="35"/>
        <v>0.03801906608</v>
      </c>
      <c r="V14" s="90">
        <f>'Fee Revenue'!W59</f>
        <v>603333.3333</v>
      </c>
      <c r="W14" s="92"/>
      <c r="X14" s="91">
        <f t="shared" si="36"/>
        <v>0.03735463166</v>
      </c>
      <c r="Y14" s="90">
        <f>'Fee Revenue'!Z59</f>
        <v>618416.6667</v>
      </c>
      <c r="Z14" s="92"/>
      <c r="AA14" s="91">
        <f t="shared" si="37"/>
        <v>0.03657863346</v>
      </c>
      <c r="AB14" s="90">
        <f>'Fee Revenue'!AC59</f>
        <v>633500</v>
      </c>
      <c r="AC14" s="92"/>
      <c r="AD14" s="91">
        <f t="shared" si="38"/>
        <v>0.03584361209</v>
      </c>
      <c r="AE14" s="90">
        <f>'Fee Revenue'!AF59</f>
        <v>648583.3333</v>
      </c>
      <c r="AF14" s="92"/>
      <c r="AG14" s="91">
        <f t="shared" si="39"/>
        <v>0.03517740113</v>
      </c>
      <c r="AH14" s="90">
        <f>'Fee Revenue'!AI59</f>
        <v>663666.6667</v>
      </c>
      <c r="AI14" s="92"/>
      <c r="AJ14" s="91">
        <f t="shared" si="40"/>
        <v>0.03426348985</v>
      </c>
      <c r="AK14" s="90">
        <f>'Fee Revenue'!AL59</f>
        <v>678750</v>
      </c>
      <c r="AL14" s="92"/>
      <c r="AM14" s="91">
        <f t="shared" si="41"/>
        <v>0.03344007883</v>
      </c>
      <c r="AN14" s="90">
        <f>'Fee Revenue'!AO59</f>
        <v>693833.3333</v>
      </c>
      <c r="AO14" s="92"/>
      <c r="AP14" s="91">
        <f t="shared" si="42"/>
        <v>0.03279993067</v>
      </c>
      <c r="AQ14" s="90">
        <f>'Fee Revenue'!AR59</f>
        <v>708916.6667</v>
      </c>
      <c r="AR14" s="92"/>
      <c r="AS14" s="91">
        <f t="shared" si="43"/>
        <v>0.03210455208</v>
      </c>
      <c r="AT14" s="90">
        <f>'Fee Revenue'!AU59</f>
        <v>724000</v>
      </c>
      <c r="AU14" s="92"/>
      <c r="AV14" s="91">
        <f t="shared" si="44"/>
        <v>0.03134470517</v>
      </c>
      <c r="AW14" s="90">
        <f>'Fee Revenue'!AX59</f>
        <v>739083.3333</v>
      </c>
      <c r="AX14" s="92"/>
      <c r="AY14" s="91">
        <f t="shared" si="45"/>
        <v>0.03064383495</v>
      </c>
      <c r="AZ14" s="90">
        <f>'Fee Revenue'!BA59</f>
        <v>754166.6667</v>
      </c>
      <c r="BA14" s="92"/>
      <c r="BB14" s="91">
        <f t="shared" si="46"/>
        <v>0.02989936633</v>
      </c>
      <c r="BC14" s="90">
        <f>'Fee Revenue'!BD59</f>
        <v>784333.3333</v>
      </c>
      <c r="BD14" s="92"/>
      <c r="BE14" s="91">
        <f t="shared" si="47"/>
        <v>0.02970453269</v>
      </c>
      <c r="BF14" s="90">
        <f>'Fee Revenue'!BG59</f>
        <v>814500</v>
      </c>
      <c r="BG14" s="92"/>
      <c r="BH14" s="91">
        <f t="shared" si="48"/>
        <v>0.02942292062</v>
      </c>
      <c r="BI14" s="90">
        <f>'Fee Revenue'!BJ59</f>
        <v>844666.6667</v>
      </c>
      <c r="BJ14" s="92"/>
      <c r="BK14" s="91">
        <f t="shared" si="49"/>
        <v>0.02917472598</v>
      </c>
      <c r="BL14" s="90">
        <f>'Fee Revenue'!BM59</f>
        <v>874833.3333</v>
      </c>
      <c r="BM14" s="92"/>
      <c r="BN14" s="91">
        <f t="shared" si="50"/>
        <v>0.02886286154</v>
      </c>
      <c r="BO14" s="90">
        <f>'Fee Revenue'!BP59</f>
        <v>905000</v>
      </c>
      <c r="BP14" s="92"/>
      <c r="BQ14" s="91">
        <f t="shared" si="51"/>
        <v>0.02843363652</v>
      </c>
      <c r="BR14" s="90">
        <f>'Fee Revenue'!BS59</f>
        <v>935166.6667</v>
      </c>
      <c r="BS14" s="92"/>
      <c r="BT14" s="91">
        <f t="shared" si="52"/>
        <v>0.02810756114</v>
      </c>
      <c r="BU14" s="90">
        <f>'Fee Revenue'!BV59</f>
        <v>965333.3333</v>
      </c>
      <c r="BV14" s="92"/>
      <c r="BW14" s="91">
        <f t="shared" si="53"/>
        <v>0.02767742799</v>
      </c>
      <c r="BX14" s="90">
        <f>'Fee Revenue'!BY59</f>
        <v>995500</v>
      </c>
      <c r="BY14" s="92"/>
      <c r="BZ14" s="91">
        <f t="shared" si="54"/>
        <v>0.02721916141</v>
      </c>
      <c r="CA14" s="90">
        <f>'Fee Revenue'!CB59</f>
        <v>1025666.667</v>
      </c>
      <c r="CB14" s="92"/>
      <c r="CC14" s="91">
        <f t="shared" si="55"/>
        <v>0.02680150165</v>
      </c>
      <c r="CD14" s="90">
        <f>'Fee Revenue'!CE59</f>
        <v>1055833.333</v>
      </c>
      <c r="CE14" s="92"/>
      <c r="CF14" s="91">
        <f t="shared" si="56"/>
        <v>0.026363538</v>
      </c>
      <c r="CG14" s="90">
        <f>'Fee Revenue'!CH59</f>
        <v>1086000</v>
      </c>
      <c r="CH14" s="92"/>
      <c r="CI14" s="91">
        <f t="shared" si="57"/>
        <v>0.02586114518</v>
      </c>
      <c r="CJ14" s="90">
        <f>'Fee Revenue'!CK59</f>
        <v>1116166.667</v>
      </c>
      <c r="CK14" s="92"/>
      <c r="CL14" s="91">
        <f t="shared" si="58"/>
        <v>0.02539599474</v>
      </c>
      <c r="CM14" s="90">
        <f>'Fee Revenue'!CN59</f>
        <v>1146333.333</v>
      </c>
      <c r="CN14" s="92"/>
      <c r="CO14" s="91">
        <f t="shared" si="59"/>
        <v>0.02488809764</v>
      </c>
      <c r="CP14" s="1"/>
    </row>
    <row r="15" ht="13.5" customHeight="1">
      <c r="A15" s="2"/>
      <c r="B15" s="82" t="s">
        <v>102</v>
      </c>
      <c r="C15" s="84" t="s">
        <v>107</v>
      </c>
      <c r="D15" s="85">
        <f>SUM(D13:D14)</f>
        <v>5883166.667</v>
      </c>
      <c r="E15" s="32" t="s">
        <v>99</v>
      </c>
      <c r="F15" s="86">
        <f t="shared" si="30"/>
        <v>0.4807981748</v>
      </c>
      <c r="G15" s="85">
        <f>SUM(G13:G14)</f>
        <v>6119666.667</v>
      </c>
      <c r="H15" s="87">
        <f>(G15-D15)/D15</f>
        <v>0.04019943908</v>
      </c>
      <c r="I15" s="86">
        <f t="shared" si="31"/>
        <v>0.4771669916</v>
      </c>
      <c r="J15" s="85">
        <f>SUM(J13:J14)</f>
        <v>5764666.667</v>
      </c>
      <c r="K15" s="87">
        <f>(J15-G15)/G15</f>
        <v>-0.05800969552</v>
      </c>
      <c r="L15" s="86">
        <f t="shared" si="32"/>
        <v>0.426648904</v>
      </c>
      <c r="M15" s="85">
        <f>SUM(M13:M14)</f>
        <v>5997666.667</v>
      </c>
      <c r="N15" s="87">
        <f>(M15-J15)/J15</f>
        <v>0.0404186423</v>
      </c>
      <c r="O15" s="86">
        <f t="shared" si="33"/>
        <v>0.4226536533</v>
      </c>
      <c r="P15" s="85">
        <f>SUM(P13:P14)</f>
        <v>6230666.667</v>
      </c>
      <c r="Q15" s="87">
        <f>(P15-M15)/M15</f>
        <v>0.03884844106</v>
      </c>
      <c r="R15" s="86">
        <f t="shared" si="34"/>
        <v>0.4190232803</v>
      </c>
      <c r="S15" s="85">
        <f>SUM(S13:S14)</f>
        <v>6411666.667</v>
      </c>
      <c r="T15" s="87">
        <f>(S15-P15)/P15</f>
        <v>0.0290498609</v>
      </c>
      <c r="U15" s="86">
        <f t="shared" si="35"/>
        <v>0.414391124</v>
      </c>
      <c r="V15" s="85">
        <f>SUM(V13:V14)</f>
        <v>6644666.667</v>
      </c>
      <c r="W15" s="87">
        <f>(V15-S15)/S15</f>
        <v>0.0363400052</v>
      </c>
      <c r="X15" s="86">
        <f t="shared" si="36"/>
        <v>0.4113962583</v>
      </c>
      <c r="Y15" s="85">
        <f>SUM(Y13:Y14)</f>
        <v>6869333.333</v>
      </c>
      <c r="Z15" s="87">
        <f>(Y15-V15)/V15</f>
        <v>0.03381157821</v>
      </c>
      <c r="AA15" s="86">
        <f t="shared" si="37"/>
        <v>0.4063131537</v>
      </c>
      <c r="AB15" s="85">
        <f>SUM(AB13:AB14)</f>
        <v>7102333.333</v>
      </c>
      <c r="AC15" s="87">
        <f>(AB15-Y15)/Y15</f>
        <v>0.03391886646</v>
      </c>
      <c r="AD15" s="86">
        <f t="shared" si="38"/>
        <v>0.4018520614</v>
      </c>
      <c r="AE15" s="85">
        <f>SUM(AE13:AE14)</f>
        <v>7343666.667</v>
      </c>
      <c r="AF15" s="87">
        <f>(AE15-AB15)/AB15</f>
        <v>0.03397944338</v>
      </c>
      <c r="AG15" s="86">
        <f t="shared" si="39"/>
        <v>0.398300565</v>
      </c>
      <c r="AH15" s="85">
        <f>SUM(AH13:AH14)</f>
        <v>7628666.667</v>
      </c>
      <c r="AI15" s="87">
        <f>(AH15-AE15)/AE15</f>
        <v>0.03880895102</v>
      </c>
      <c r="AJ15" s="86">
        <f t="shared" si="40"/>
        <v>0.3938494368</v>
      </c>
      <c r="AK15" s="85">
        <f>SUM(AK13:AK14)</f>
        <v>7922000</v>
      </c>
      <c r="AL15" s="87">
        <f>(AK15-AH15)/AH15</f>
        <v>0.03845145504</v>
      </c>
      <c r="AM15" s="86">
        <f t="shared" si="41"/>
        <v>0.3902943712</v>
      </c>
      <c r="AN15" s="85">
        <f>SUM(AN13:AN14)</f>
        <v>8155000</v>
      </c>
      <c r="AO15" s="87">
        <f>(AN15-AK15)/AK15</f>
        <v>0.02941176471</v>
      </c>
      <c r="AP15" s="86">
        <f t="shared" si="42"/>
        <v>0.3855153993</v>
      </c>
      <c r="AQ15" s="85">
        <f>SUM(AQ13:AQ14)</f>
        <v>8388000</v>
      </c>
      <c r="AR15" s="87">
        <f>(AQ15-AN15)/AN15</f>
        <v>0.02857142857</v>
      </c>
      <c r="AS15" s="86">
        <f t="shared" si="43"/>
        <v>0.3798654983</v>
      </c>
      <c r="AT15" s="85">
        <f>SUM(AT13:AT14)</f>
        <v>8681333.333</v>
      </c>
      <c r="AU15" s="87">
        <f>(AT15-AQ15)/AQ15</f>
        <v>0.03497059291</v>
      </c>
      <c r="AV15" s="86">
        <f t="shared" si="44"/>
        <v>0.3758478368</v>
      </c>
      <c r="AW15" s="85">
        <f>SUM(AW13:AW14)</f>
        <v>8966333.333</v>
      </c>
      <c r="AX15" s="87">
        <f>(AW15-AT15)/AT15</f>
        <v>0.03282905852</v>
      </c>
      <c r="AY15" s="86">
        <f t="shared" si="45"/>
        <v>0.3717616491</v>
      </c>
      <c r="AZ15" s="85">
        <f>SUM(AZ13:AZ14)</f>
        <v>9259666.667</v>
      </c>
      <c r="BA15" s="87">
        <f>(AZ15-AW15)/AW15</f>
        <v>0.03271497082</v>
      </c>
      <c r="BB15" s="86">
        <f t="shared" si="46"/>
        <v>0.3671047502</v>
      </c>
      <c r="BC15" s="85">
        <f>SUM(BC13:BC14)</f>
        <v>9605000</v>
      </c>
      <c r="BD15" s="87">
        <f>(BC15-AZ15)/AZ15</f>
        <v>0.03729435905</v>
      </c>
      <c r="BE15" s="86">
        <f t="shared" si="47"/>
        <v>0.3637637524</v>
      </c>
      <c r="BF15" s="85">
        <f>SUM(BF13:BF14)</f>
        <v>9967000</v>
      </c>
      <c r="BG15" s="87">
        <f>(BF15-BC15)/BC15</f>
        <v>0.0376887038</v>
      </c>
      <c r="BH15" s="86">
        <f t="shared" si="48"/>
        <v>0.3600469611</v>
      </c>
      <c r="BI15" s="85">
        <f>SUM(BI13:BI14)</f>
        <v>10312333.33</v>
      </c>
      <c r="BJ15" s="87">
        <f>(BI15-BF15)/BF15</f>
        <v>0.03464767065</v>
      </c>
      <c r="BK15" s="86">
        <f t="shared" si="49"/>
        <v>0.3561872525</v>
      </c>
      <c r="BL15" s="85">
        <f>SUM(BL13:BL14)</f>
        <v>10657666.67</v>
      </c>
      <c r="BM15" s="87">
        <f>(BL15-BI15)/BI15</f>
        <v>0.0334874099</v>
      </c>
      <c r="BN15" s="86">
        <f t="shared" si="50"/>
        <v>0.3516221269</v>
      </c>
      <c r="BO15" s="85">
        <f>SUM(BO13:BO14)</f>
        <v>11063333.33</v>
      </c>
      <c r="BP15" s="87">
        <f>(BO15-BL15)/BL15</f>
        <v>0.03806336597</v>
      </c>
      <c r="BQ15" s="86">
        <f t="shared" si="51"/>
        <v>0.3475920428</v>
      </c>
      <c r="BR15" s="85">
        <f>SUM(BR13:BR14)</f>
        <v>11417000</v>
      </c>
      <c r="BS15" s="87">
        <f>(BR15-BO15)/BO15</f>
        <v>0.03196746008</v>
      </c>
      <c r="BT15" s="86">
        <f t="shared" si="52"/>
        <v>0.3431516937</v>
      </c>
      <c r="BU15" s="85">
        <f>SUM(BU13:BU14)</f>
        <v>11822666.67</v>
      </c>
      <c r="BV15" s="87">
        <f>(BU15-BR15)/BR15</f>
        <v>0.03553180929</v>
      </c>
      <c r="BW15" s="86">
        <f t="shared" si="53"/>
        <v>0.3389720359</v>
      </c>
      <c r="BX15" s="85">
        <f>SUM(BX13:BX14)</f>
        <v>12228333.33</v>
      </c>
      <c r="BY15" s="87">
        <f>(BX15-BU15)/BU15</f>
        <v>0.03431261983</v>
      </c>
      <c r="BZ15" s="86">
        <f t="shared" si="54"/>
        <v>0.3343495518</v>
      </c>
      <c r="CA15" s="85">
        <f>SUM(CA13:CA14)</f>
        <v>12634000</v>
      </c>
      <c r="CB15" s="87">
        <f>(CA15-BX15)/BX15</f>
        <v>0.03317432193</v>
      </c>
      <c r="CC15" s="86">
        <f t="shared" si="55"/>
        <v>0.3301366641</v>
      </c>
      <c r="CD15" s="85">
        <f>SUM(CD13:CD14)</f>
        <v>13048000</v>
      </c>
      <c r="CE15" s="87">
        <f>(CD15-CA15)/CA15</f>
        <v>0.03276871933</v>
      </c>
      <c r="CF15" s="86">
        <f t="shared" si="56"/>
        <v>0.3258008939</v>
      </c>
      <c r="CG15" s="85">
        <f>SUM(CG13:CG14)</f>
        <v>13514000</v>
      </c>
      <c r="CH15" s="87">
        <f>(CG15-CD15)/CD15</f>
        <v>0.03571428571</v>
      </c>
      <c r="CI15" s="86">
        <f t="shared" si="57"/>
        <v>0.321811709</v>
      </c>
      <c r="CJ15" s="85">
        <f>SUM(CJ13:CJ14)</f>
        <v>13928000</v>
      </c>
      <c r="CK15" s="87">
        <f>(CJ15-CG15)/CG15</f>
        <v>0.03063489714</v>
      </c>
      <c r="CL15" s="86">
        <f t="shared" si="58"/>
        <v>0.3169019693</v>
      </c>
      <c r="CM15" s="85">
        <f>SUM(CM13:CM14)</f>
        <v>14385666.67</v>
      </c>
      <c r="CN15" s="87">
        <f>(CM15-CJ15)/CJ15</f>
        <v>0.03285946774</v>
      </c>
      <c r="CO15" s="86">
        <f t="shared" si="59"/>
        <v>0.3123278947</v>
      </c>
      <c r="CP15" s="2"/>
      <c r="CQ15" s="2"/>
    </row>
    <row r="16" ht="9.75" customHeight="1">
      <c r="A16" s="1"/>
      <c r="B16" s="82"/>
      <c r="C16" s="84"/>
      <c r="D16" s="85"/>
      <c r="E16" s="32"/>
      <c r="F16" s="86"/>
      <c r="G16" s="85"/>
      <c r="H16" s="87"/>
      <c r="I16" s="86"/>
      <c r="J16" s="85"/>
      <c r="K16" s="87"/>
      <c r="L16" s="86"/>
      <c r="M16" s="85"/>
      <c r="N16" s="87"/>
      <c r="O16" s="86"/>
      <c r="P16" s="85"/>
      <c r="Q16" s="87"/>
      <c r="R16" s="86"/>
      <c r="S16" s="85"/>
      <c r="T16" s="87"/>
      <c r="U16" s="86"/>
      <c r="V16" s="85"/>
      <c r="W16" s="87"/>
      <c r="X16" s="86"/>
      <c r="Y16" s="85"/>
      <c r="Z16" s="87"/>
      <c r="AA16" s="86"/>
      <c r="AB16" s="85"/>
      <c r="AC16" s="87"/>
      <c r="AD16" s="86"/>
      <c r="AE16" s="85"/>
      <c r="AF16" s="87"/>
      <c r="AG16" s="86"/>
      <c r="AH16" s="85"/>
      <c r="AI16" s="87"/>
      <c r="AJ16" s="86"/>
      <c r="AK16" s="85"/>
      <c r="AL16" s="87"/>
      <c r="AM16" s="86"/>
      <c r="AN16" s="85"/>
      <c r="AO16" s="87"/>
      <c r="AP16" s="86"/>
      <c r="AQ16" s="85"/>
      <c r="AR16" s="87"/>
      <c r="AS16" s="86"/>
      <c r="AT16" s="85"/>
      <c r="AU16" s="87"/>
      <c r="AV16" s="86"/>
      <c r="AW16" s="85"/>
      <c r="AX16" s="87"/>
      <c r="AY16" s="86"/>
      <c r="AZ16" s="85"/>
      <c r="BA16" s="87"/>
      <c r="BB16" s="86"/>
      <c r="BC16" s="85"/>
      <c r="BD16" s="87"/>
      <c r="BE16" s="86"/>
      <c r="BF16" s="85"/>
      <c r="BG16" s="87"/>
      <c r="BH16" s="86"/>
      <c r="BI16" s="85"/>
      <c r="BJ16" s="87"/>
      <c r="BK16" s="86"/>
      <c r="BL16" s="85"/>
      <c r="BM16" s="87"/>
      <c r="BN16" s="86"/>
      <c r="BO16" s="85"/>
      <c r="BP16" s="87"/>
      <c r="BQ16" s="86"/>
      <c r="BR16" s="85"/>
      <c r="BS16" s="87"/>
      <c r="BT16" s="86"/>
      <c r="BU16" s="85"/>
      <c r="BV16" s="87"/>
      <c r="BW16" s="86"/>
      <c r="BX16" s="85"/>
      <c r="BY16" s="87"/>
      <c r="BZ16" s="86"/>
      <c r="CA16" s="85"/>
      <c r="CB16" s="87"/>
      <c r="CC16" s="86"/>
      <c r="CD16" s="85"/>
      <c r="CE16" s="87"/>
      <c r="CF16" s="86"/>
      <c r="CG16" s="85"/>
      <c r="CH16" s="87"/>
      <c r="CI16" s="86"/>
      <c r="CJ16" s="85"/>
      <c r="CK16" s="87"/>
      <c r="CL16" s="86"/>
      <c r="CM16" s="85"/>
      <c r="CN16" s="87"/>
      <c r="CO16" s="86"/>
      <c r="CP16" s="1"/>
    </row>
    <row r="17" ht="13.5" customHeight="1">
      <c r="A17" s="1"/>
      <c r="B17" s="82" t="s">
        <v>108</v>
      </c>
      <c r="C17" s="84" t="s">
        <v>109</v>
      </c>
      <c r="D17" s="85">
        <f>'Fee Revenue'!E67</f>
        <v>3097666.667</v>
      </c>
      <c r="E17" s="32"/>
      <c r="F17" s="86">
        <f>D17/D$8</f>
        <v>0.2531549018</v>
      </c>
      <c r="G17" s="95">
        <f>'Fee Revenue'!H67</f>
        <v>3266333.333</v>
      </c>
      <c r="H17" s="87"/>
      <c r="I17" s="86">
        <f>G17/G$8</f>
        <v>0.2546848603</v>
      </c>
      <c r="J17" s="85">
        <f>'Fee Revenue'!K67</f>
        <v>3435000</v>
      </c>
      <c r="K17" s="87"/>
      <c r="L17" s="86">
        <f>J17/J$8</f>
        <v>0.25422788</v>
      </c>
      <c r="M17" s="85">
        <f>'Fee Revenue'!N67</f>
        <v>3664000</v>
      </c>
      <c r="N17" s="87"/>
      <c r="O17" s="86">
        <f>M17/M$8</f>
        <v>0.2582009091</v>
      </c>
      <c r="P17" s="85">
        <f>'Fee Revenue'!Q67</f>
        <v>3893000</v>
      </c>
      <c r="Q17" s="87"/>
      <c r="R17" s="86">
        <f>P17/P$8</f>
        <v>0.2618110898</v>
      </c>
      <c r="S17" s="85">
        <f>'Fee Revenue'!T67</f>
        <v>4122000</v>
      </c>
      <c r="T17" s="87"/>
      <c r="U17" s="86">
        <f>S17/S$8</f>
        <v>0.2664081435</v>
      </c>
      <c r="V17" s="85">
        <f>'Fee Revenue'!W67</f>
        <v>4351000</v>
      </c>
      <c r="W17" s="87"/>
      <c r="X17" s="86">
        <f>V17/V$8</f>
        <v>0.2693867443</v>
      </c>
      <c r="Y17" s="85">
        <f>'Fee Revenue'!Z67</f>
        <v>4640333.333</v>
      </c>
      <c r="Z17" s="87"/>
      <c r="AA17" s="86">
        <f>Y17/Y$8</f>
        <v>0.2744703714</v>
      </c>
      <c r="AB17" s="85">
        <f>'Fee Revenue'!AC67</f>
        <v>4929666.667</v>
      </c>
      <c r="AC17" s="87"/>
      <c r="AD17" s="86">
        <f>AB17/AB$8</f>
        <v>0.2789219569</v>
      </c>
      <c r="AE17" s="85">
        <f>'Fee Revenue'!AF67</f>
        <v>5206666.667</v>
      </c>
      <c r="AF17" s="87"/>
      <c r="AG17" s="86">
        <f>AE17/AE$8</f>
        <v>0.2823954802</v>
      </c>
      <c r="AH17" s="85">
        <f>'Fee Revenue'!AI67</f>
        <v>5556333.333</v>
      </c>
      <c r="AI17" s="87"/>
      <c r="AJ17" s="86">
        <f>AH17/AH$8</f>
        <v>0.2868599258</v>
      </c>
      <c r="AK17" s="85">
        <f>'Fee Revenue'!AL67</f>
        <v>5893666.667</v>
      </c>
      <c r="AL17" s="87"/>
      <c r="AM17" s="86">
        <f>AK17/AK$8</f>
        <v>0.2903641664</v>
      </c>
      <c r="AN17" s="85">
        <f>'Fee Revenue'!AO67</f>
        <v>6243333.333</v>
      </c>
      <c r="AO17" s="87"/>
      <c r="AP17" s="86">
        <f>AN17/AN$8</f>
        <v>0.2951442236</v>
      </c>
      <c r="AQ17" s="85">
        <f>'Fee Revenue'!AR67</f>
        <v>6641000</v>
      </c>
      <c r="AR17" s="87"/>
      <c r="AS17" s="86">
        <f>AQ17/AQ$8</f>
        <v>0.3007494962</v>
      </c>
      <c r="AT17" s="85">
        <f>'Fee Revenue'!AU67</f>
        <v>7038666.667</v>
      </c>
      <c r="AU17" s="87"/>
      <c r="AV17" s="86">
        <f>AT17/AT$8</f>
        <v>0.3047305683</v>
      </c>
      <c r="AW17" s="85">
        <f>'Fee Revenue'!AX67</f>
        <v>7448666.667</v>
      </c>
      <c r="AX17" s="87"/>
      <c r="AY17" s="86">
        <f>AW17/AW$8</f>
        <v>0.3088362322</v>
      </c>
      <c r="AZ17" s="85">
        <f>'Fee Revenue'!BA67</f>
        <v>7906666.667</v>
      </c>
      <c r="BA17" s="87"/>
      <c r="BB17" s="86">
        <f>AZ17/AZ$8</f>
        <v>0.3134642959</v>
      </c>
      <c r="BC17" s="85">
        <f>'Fee Revenue'!BD67</f>
        <v>8364666.667</v>
      </c>
      <c r="BD17" s="87"/>
      <c r="BE17" s="86">
        <f>BC17/BC$8</f>
        <v>0.3167894361</v>
      </c>
      <c r="BF17" s="85">
        <f>'Fee Revenue'!BG67</f>
        <v>8870666.667</v>
      </c>
      <c r="BG17" s="87"/>
      <c r="BH17" s="86">
        <f>BF17/BF$8</f>
        <v>0.3204431199</v>
      </c>
      <c r="BI17" s="85">
        <f>'Fee Revenue'!BJ67</f>
        <v>9389000</v>
      </c>
      <c r="BJ17" s="87"/>
      <c r="BK17" s="86">
        <f>BI17/BI$8</f>
        <v>0.3242953855</v>
      </c>
      <c r="BL17" s="85">
        <f>'Fee Revenue'!BM67</f>
        <v>9967666.667</v>
      </c>
      <c r="BM17" s="87"/>
      <c r="BN17" s="86">
        <f>BL17/BL$8</f>
        <v>0.3288573628</v>
      </c>
      <c r="BO17" s="85">
        <f>'Fee Revenue'!BP67</f>
        <v>10594333.33</v>
      </c>
      <c r="BP17" s="87"/>
      <c r="BQ17" s="86">
        <f>BO17/BO$8</f>
        <v>0.3328568212</v>
      </c>
      <c r="BR17" s="85">
        <f>'Fee Revenue'!BS67</f>
        <v>11221000</v>
      </c>
      <c r="BS17" s="87"/>
      <c r="BT17" s="86">
        <f>BR17/BR$8</f>
        <v>0.3372606775</v>
      </c>
      <c r="BU17" s="85">
        <f>'Fee Revenue'!BV67</f>
        <v>11908000</v>
      </c>
      <c r="BV17" s="87"/>
      <c r="BW17" s="86">
        <f>BU17/BU$8</f>
        <v>0.3414186593</v>
      </c>
      <c r="BX17" s="85">
        <f>'Fee Revenue'!BY67</f>
        <v>12655333.33</v>
      </c>
      <c r="BY17" s="87"/>
      <c r="BZ17" s="86">
        <f>BX17/BX$8</f>
        <v>0.3460246718</v>
      </c>
      <c r="CA17" s="85">
        <f>'Fee Revenue'!CB67</f>
        <v>13402666.67</v>
      </c>
      <c r="CB17" s="87"/>
      <c r="CC17" s="86">
        <f>CA17/CA$8</f>
        <v>0.3502225474</v>
      </c>
      <c r="CD17" s="85">
        <f>'Fee Revenue'!CE67</f>
        <v>14198000</v>
      </c>
      <c r="CE17" s="87"/>
      <c r="CF17" s="86">
        <f>CD17/CD$8</f>
        <v>0.3545157182</v>
      </c>
      <c r="CG17" s="85">
        <f>'Fee Revenue'!CH67</f>
        <v>15053666.67</v>
      </c>
      <c r="CH17" s="87"/>
      <c r="CI17" s="86">
        <f>CG17/CG$8</f>
        <v>0.3584761134</v>
      </c>
      <c r="CJ17" s="85">
        <f>'Fee Revenue'!CK67</f>
        <v>15969666.67</v>
      </c>
      <c r="CK17" s="87"/>
      <c r="CL17" s="86">
        <f>CJ17/CJ$8</f>
        <v>0.3633557449</v>
      </c>
      <c r="CM17" s="85">
        <f>'Fee Revenue'!CN67</f>
        <v>16946000</v>
      </c>
      <c r="CN17" s="87"/>
      <c r="CO17" s="86">
        <f>CM17/CM$8</f>
        <v>0.3679154138</v>
      </c>
      <c r="CP17" s="1"/>
    </row>
    <row r="18" ht="9.75" customHeight="1">
      <c r="A18" s="1"/>
      <c r="B18" s="88"/>
      <c r="C18" s="89"/>
      <c r="D18" s="90"/>
      <c r="E18" s="37"/>
      <c r="F18" s="91"/>
      <c r="G18" s="90"/>
      <c r="H18" s="92"/>
      <c r="I18" s="91"/>
      <c r="J18" s="90"/>
      <c r="K18" s="92"/>
      <c r="L18" s="91"/>
      <c r="M18" s="90"/>
      <c r="N18" s="92"/>
      <c r="O18" s="91"/>
      <c r="P18" s="90"/>
      <c r="Q18" s="92"/>
      <c r="R18" s="91"/>
      <c r="S18" s="90"/>
      <c r="T18" s="92"/>
      <c r="U18" s="91"/>
      <c r="V18" s="90"/>
      <c r="W18" s="92"/>
      <c r="X18" s="91"/>
      <c r="Y18" s="90"/>
      <c r="Z18" s="92"/>
      <c r="AA18" s="91"/>
      <c r="AB18" s="90"/>
      <c r="AC18" s="92"/>
      <c r="AD18" s="91"/>
      <c r="AE18" s="90"/>
      <c r="AF18" s="92"/>
      <c r="AG18" s="91"/>
      <c r="AH18" s="90"/>
      <c r="AI18" s="92"/>
      <c r="AJ18" s="91"/>
      <c r="AK18" s="90"/>
      <c r="AL18" s="92"/>
      <c r="AM18" s="91"/>
      <c r="AN18" s="90"/>
      <c r="AO18" s="92"/>
      <c r="AP18" s="91"/>
      <c r="AQ18" s="90"/>
      <c r="AR18" s="92"/>
      <c r="AS18" s="91"/>
      <c r="AT18" s="90"/>
      <c r="AU18" s="92"/>
      <c r="AV18" s="91"/>
      <c r="AW18" s="90"/>
      <c r="AX18" s="92"/>
      <c r="AY18" s="91"/>
      <c r="AZ18" s="90"/>
      <c r="BA18" s="92"/>
      <c r="BB18" s="91"/>
      <c r="BC18" s="90"/>
      <c r="BD18" s="92"/>
      <c r="BE18" s="91"/>
      <c r="BF18" s="90"/>
      <c r="BG18" s="92"/>
      <c r="BH18" s="91"/>
      <c r="BI18" s="90"/>
      <c r="BJ18" s="92"/>
      <c r="BK18" s="91"/>
      <c r="BL18" s="90"/>
      <c r="BM18" s="92"/>
      <c r="BN18" s="91"/>
      <c r="BO18" s="90"/>
      <c r="BP18" s="92"/>
      <c r="BQ18" s="91"/>
      <c r="BR18" s="90"/>
      <c r="BS18" s="92"/>
      <c r="BT18" s="91"/>
      <c r="BU18" s="90"/>
      <c r="BV18" s="92"/>
      <c r="BW18" s="91"/>
      <c r="BX18" s="90"/>
      <c r="BY18" s="92"/>
      <c r="BZ18" s="91"/>
      <c r="CA18" s="90"/>
      <c r="CB18" s="92"/>
      <c r="CC18" s="91"/>
      <c r="CD18" s="90"/>
      <c r="CE18" s="92"/>
      <c r="CF18" s="91"/>
      <c r="CG18" s="90"/>
      <c r="CH18" s="92"/>
      <c r="CI18" s="91"/>
      <c r="CJ18" s="90"/>
      <c r="CK18" s="92"/>
      <c r="CL18" s="91"/>
      <c r="CM18" s="90"/>
      <c r="CN18" s="92"/>
      <c r="CO18" s="91"/>
      <c r="CP18" s="1"/>
    </row>
    <row r="19" ht="13.5" customHeight="1">
      <c r="A19" s="1"/>
      <c r="B19" s="82">
        <v>3.0</v>
      </c>
      <c r="C19" s="93" t="s">
        <v>110</v>
      </c>
      <c r="D19" s="94">
        <f>'Fee Revenue'!E75</f>
        <v>8980833.333</v>
      </c>
      <c r="E19" s="35" t="s">
        <v>99</v>
      </c>
      <c r="F19" s="86">
        <f>D19/D$8</f>
        <v>0.7339530766</v>
      </c>
      <c r="G19" s="94">
        <f>'Fee Revenue'!H75</f>
        <v>9386000</v>
      </c>
      <c r="H19" s="87">
        <f>(G19-D19)/D19</f>
        <v>0.0451145959</v>
      </c>
      <c r="I19" s="86">
        <f>G19/G$8</f>
        <v>0.7318518519</v>
      </c>
      <c r="J19" s="94">
        <f>'Fee Revenue'!K75</f>
        <v>9199666.667</v>
      </c>
      <c r="K19" s="87">
        <f>(J19-G19)/G19</f>
        <v>-0.01985226223</v>
      </c>
      <c r="L19" s="86">
        <f>J19/J$8</f>
        <v>0.680876784</v>
      </c>
      <c r="M19" s="94">
        <f>'Fee Revenue'!N75</f>
        <v>9661666.667</v>
      </c>
      <c r="N19" s="87">
        <f>(M19-J19)/J19</f>
        <v>0.05021921084</v>
      </c>
      <c r="O19" s="86">
        <f>M19/M$8</f>
        <v>0.6808545623</v>
      </c>
      <c r="P19" s="94">
        <f>'Fee Revenue'!Q75</f>
        <v>10123666.67</v>
      </c>
      <c r="Q19" s="87">
        <f>(P19-M19)/M19</f>
        <v>0.04781783681</v>
      </c>
      <c r="R19" s="86">
        <f>P19/P$8</f>
        <v>0.6808343701</v>
      </c>
      <c r="S19" s="94">
        <f>'Fee Revenue'!T75</f>
        <v>10533666.67</v>
      </c>
      <c r="T19" s="87">
        <f>(S19-P19)/P19</f>
        <v>0.04049916038</v>
      </c>
      <c r="U19" s="86">
        <f>S19/S$8</f>
        <v>0.6807992675</v>
      </c>
      <c r="V19" s="94">
        <f>'Fee Revenue'!W75</f>
        <v>10995666.67</v>
      </c>
      <c r="W19" s="87">
        <f>(V19-S19)/S19</f>
        <v>0.04385937154</v>
      </c>
      <c r="X19" s="86">
        <f>V19/V$8</f>
        <v>0.6807830026</v>
      </c>
      <c r="Y19" s="94">
        <f>'Fee Revenue'!Z75</f>
        <v>11509666.67</v>
      </c>
      <c r="Z19" s="87">
        <f>(Y19-V19)/V19</f>
        <v>0.0467456877</v>
      </c>
      <c r="AA19" s="86">
        <f>Y19/Y$8</f>
        <v>0.6807835251</v>
      </c>
      <c r="AB19" s="94">
        <f>'Fee Revenue'!AC75</f>
        <v>12032000</v>
      </c>
      <c r="AC19" s="87">
        <f>(AB19-Y19)/Y19</f>
        <v>0.04538214255</v>
      </c>
      <c r="AD19" s="86">
        <f>AB19/AB$8</f>
        <v>0.6807740183</v>
      </c>
      <c r="AE19" s="94">
        <f>'Fee Revenue'!AF75</f>
        <v>12550333.33</v>
      </c>
      <c r="AF19" s="87">
        <f>(AE19-AB19)/AB19</f>
        <v>0.0430795656</v>
      </c>
      <c r="AG19" s="86">
        <f>AE19/AE$8</f>
        <v>0.6806960452</v>
      </c>
      <c r="AH19" s="94">
        <f>'Fee Revenue'!AI75</f>
        <v>13185000</v>
      </c>
      <c r="AI19" s="87">
        <f>(AH19-AE19)/AE19</f>
        <v>0.05056970598</v>
      </c>
      <c r="AJ19" s="86">
        <f>AH19/AH$8</f>
        <v>0.6807093627</v>
      </c>
      <c r="AK19" s="94">
        <f>'Fee Revenue'!AL75</f>
        <v>13815666.67</v>
      </c>
      <c r="AL19" s="87">
        <f>(AK19-AH19)/AH19</f>
        <v>0.04783213247</v>
      </c>
      <c r="AM19" s="86">
        <f>AK19/AK$8</f>
        <v>0.6806585376</v>
      </c>
      <c r="AN19" s="94">
        <f>'Fee Revenue'!AO75</f>
        <v>14398333.33</v>
      </c>
      <c r="AO19" s="87">
        <f>(AN19-AK19)/AK19</f>
        <v>0.04217434314</v>
      </c>
      <c r="AP19" s="86">
        <f>AN19/AN$8</f>
        <v>0.6806596229</v>
      </c>
      <c r="AQ19" s="94">
        <f>'Fee Revenue'!AR75</f>
        <v>15029000</v>
      </c>
      <c r="AR19" s="87">
        <f>(AQ19-AN19)/AN19</f>
        <v>0.0438013659</v>
      </c>
      <c r="AS19" s="86">
        <f>AQ19/AQ$8</f>
        <v>0.6806149945</v>
      </c>
      <c r="AT19" s="94">
        <f>'Fee Revenue'!AU75</f>
        <v>15720000</v>
      </c>
      <c r="AU19" s="87">
        <f>(AT19-AQ19)/AQ19</f>
        <v>0.0459777763</v>
      </c>
      <c r="AV19" s="86">
        <f>AT19/AT$8</f>
        <v>0.6805784051</v>
      </c>
      <c r="AW19" s="94">
        <f>'Fee Revenue'!AX75</f>
        <v>16415000</v>
      </c>
      <c r="AX19" s="87">
        <f>(AW19-AT19)/AT19</f>
        <v>0.04421119593</v>
      </c>
      <c r="AY19" s="86">
        <f>AW19/AW$8</f>
        <v>0.6805978813</v>
      </c>
      <c r="AZ19" s="94">
        <f>'Fee Revenue'!BA75</f>
        <v>17166333.33</v>
      </c>
      <c r="BA19" s="87">
        <f>(AZ19-AW19)/AW19</f>
        <v>0.04577114428</v>
      </c>
      <c r="BB19" s="86">
        <f>AZ19/AZ$8</f>
        <v>0.6805690461</v>
      </c>
      <c r="BC19" s="94">
        <f>'Fee Revenue'!BD75</f>
        <v>17969666.67</v>
      </c>
      <c r="BD19" s="87">
        <f>(BC19-AZ19)/AZ19</f>
        <v>0.04679702518</v>
      </c>
      <c r="BE19" s="86">
        <f>BC19/BC$8</f>
        <v>0.6805531885</v>
      </c>
      <c r="BF19" s="94">
        <f>'Fee Revenue'!BG75</f>
        <v>18837666.67</v>
      </c>
      <c r="BG19" s="87">
        <f>(BF19-BC19)/BC19</f>
        <v>0.04830362277</v>
      </c>
      <c r="BH19" s="86">
        <f>BF19/BF$8</f>
        <v>0.680490081</v>
      </c>
      <c r="BI19" s="94">
        <f>'Fee Revenue'!BJ75</f>
        <v>19701333.33</v>
      </c>
      <c r="BJ19" s="87">
        <f>(BI19-BF19)/BF19</f>
        <v>0.04584785801</v>
      </c>
      <c r="BK19" s="86">
        <f>BI19/BI$8</f>
        <v>0.6804826379</v>
      </c>
      <c r="BL19" s="94">
        <f>'Fee Revenue'!BM75</f>
        <v>20625333.33</v>
      </c>
      <c r="BM19" s="87">
        <f>(BL19-BI19)/BI19</f>
        <v>0.04690037899</v>
      </c>
      <c r="BN19" s="86">
        <f>BL19/BL$8</f>
        <v>0.6804794897</v>
      </c>
      <c r="BO19" s="94">
        <f>'Fee Revenue'!BP75</f>
        <v>21657666.67</v>
      </c>
      <c r="BP19" s="87">
        <f>(BO19-BL19)/BL19</f>
        <v>0.05005171634</v>
      </c>
      <c r="BQ19" s="86">
        <f>BO19/BO$8</f>
        <v>0.680448864</v>
      </c>
      <c r="BR19" s="94">
        <f>'Fee Revenue'!BS75</f>
        <v>22638000</v>
      </c>
      <c r="BS19" s="87">
        <f>(BR19-BO19)/BO19</f>
        <v>0.04526495621</v>
      </c>
      <c r="BT19" s="86">
        <f>BR19/BR$8</f>
        <v>0.6804123711</v>
      </c>
      <c r="BU19" s="94">
        <f>'Fee Revenue'!BV75</f>
        <v>23730666.67</v>
      </c>
      <c r="BV19" s="87">
        <f>(BU19-BR19)/BR19</f>
        <v>0.04826692582</v>
      </c>
      <c r="BW19" s="86">
        <f>BU19/BU$8</f>
        <v>0.6803906952</v>
      </c>
      <c r="BX19" s="94">
        <f>'Fee Revenue'!BY75</f>
        <v>24883666.67</v>
      </c>
      <c r="BY19" s="87">
        <f>(BX19-BU19)/BU19</f>
        <v>0.04858691988</v>
      </c>
      <c r="BZ19" s="86">
        <f>BX19/BX$8</f>
        <v>0.6803742236</v>
      </c>
      <c r="CA19" s="94">
        <f>'Fee Revenue'!CB75</f>
        <v>26036666.67</v>
      </c>
      <c r="CB19" s="87">
        <f>(CA19-BX19)/BX19</f>
        <v>0.04633561506</v>
      </c>
      <c r="CC19" s="86">
        <f>CA19/CA$8</f>
        <v>0.6803592115</v>
      </c>
      <c r="CD19" s="94">
        <f>'Fee Revenue'!CE75</f>
        <v>27246000</v>
      </c>
      <c r="CE19" s="87">
        <f>(CD19-CA19)/CA19</f>
        <v>0.04644731789</v>
      </c>
      <c r="CF19" s="86">
        <f>CD19/CD$8</f>
        <v>0.6803166122</v>
      </c>
      <c r="CG19" s="94">
        <f>'Fee Revenue'!CH75</f>
        <v>28567666.67</v>
      </c>
      <c r="CH19" s="87">
        <f>(CG19-CD19)/CD19</f>
        <v>0.04850864959</v>
      </c>
      <c r="CI19" s="86">
        <f>CG19/CG$8</f>
        <v>0.6802878223</v>
      </c>
      <c r="CJ19" s="94">
        <f>'Fee Revenue'!CK75</f>
        <v>29897666.67</v>
      </c>
      <c r="CK19" s="87">
        <f>(CJ19-CG19)/CG19</f>
        <v>0.04655612989</v>
      </c>
      <c r="CL19" s="86">
        <f>CJ19/CJ$8</f>
        <v>0.6802577142</v>
      </c>
      <c r="CM19" s="94">
        <f>'Fee Revenue'!CN75</f>
        <v>31331666.67</v>
      </c>
      <c r="CN19" s="87">
        <f>(CM19-CJ19)/CJ19</f>
        <v>0.0479636092</v>
      </c>
      <c r="CO19" s="86">
        <f>CM19/CM$8</f>
        <v>0.6802433085</v>
      </c>
      <c r="CP19" s="1"/>
    </row>
    <row r="20" ht="9.75" customHeight="1">
      <c r="A20" s="1"/>
      <c r="B20" s="82"/>
      <c r="C20" s="93"/>
      <c r="D20" s="80"/>
      <c r="E20" s="32"/>
      <c r="F20" s="81"/>
      <c r="G20" s="80"/>
      <c r="H20" s="32"/>
      <c r="I20" s="81"/>
      <c r="J20" s="80"/>
      <c r="K20" s="32"/>
      <c r="L20" s="81"/>
      <c r="M20" s="80"/>
      <c r="N20" s="32"/>
      <c r="O20" s="81"/>
      <c r="P20" s="80"/>
      <c r="Q20" s="32"/>
      <c r="R20" s="81"/>
      <c r="S20" s="80"/>
      <c r="T20" s="32"/>
      <c r="U20" s="81"/>
      <c r="V20" s="80"/>
      <c r="W20" s="32"/>
      <c r="X20" s="81"/>
      <c r="Y20" s="80"/>
      <c r="Z20" s="32"/>
      <c r="AA20" s="81"/>
      <c r="AB20" s="80"/>
      <c r="AC20" s="32"/>
      <c r="AD20" s="81"/>
      <c r="AE20" s="80"/>
      <c r="AF20" s="32"/>
      <c r="AG20" s="81"/>
      <c r="AH20" s="80"/>
      <c r="AI20" s="32"/>
      <c r="AJ20" s="81"/>
      <c r="AK20" s="80"/>
      <c r="AL20" s="32"/>
      <c r="AM20" s="81"/>
      <c r="AN20" s="80"/>
      <c r="AO20" s="32"/>
      <c r="AP20" s="81"/>
      <c r="AQ20" s="80"/>
      <c r="AR20" s="32"/>
      <c r="AS20" s="81"/>
      <c r="AT20" s="80"/>
      <c r="AU20" s="32"/>
      <c r="AV20" s="81"/>
      <c r="AW20" s="80"/>
      <c r="AX20" s="32"/>
      <c r="AY20" s="81"/>
      <c r="AZ20" s="80"/>
      <c r="BA20" s="32"/>
      <c r="BB20" s="81"/>
      <c r="BC20" s="80"/>
      <c r="BD20" s="32"/>
      <c r="BE20" s="81"/>
      <c r="BF20" s="80"/>
      <c r="BG20" s="32"/>
      <c r="BH20" s="81"/>
      <c r="BI20" s="80"/>
      <c r="BJ20" s="32"/>
      <c r="BK20" s="81"/>
      <c r="BL20" s="80"/>
      <c r="BM20" s="32"/>
      <c r="BN20" s="81"/>
      <c r="BO20" s="80"/>
      <c r="BP20" s="32"/>
      <c r="BQ20" s="81"/>
      <c r="BR20" s="80"/>
      <c r="BS20" s="32"/>
      <c r="BT20" s="81"/>
      <c r="BU20" s="80"/>
      <c r="BV20" s="32"/>
      <c r="BW20" s="81"/>
      <c r="BX20" s="80"/>
      <c r="BY20" s="32"/>
      <c r="BZ20" s="81"/>
      <c r="CA20" s="80"/>
      <c r="CB20" s="32"/>
      <c r="CC20" s="81"/>
      <c r="CD20" s="80"/>
      <c r="CE20" s="32"/>
      <c r="CF20" s="81"/>
      <c r="CG20" s="80"/>
      <c r="CH20" s="32"/>
      <c r="CI20" s="81"/>
      <c r="CJ20" s="80"/>
      <c r="CK20" s="32"/>
      <c r="CL20" s="81"/>
      <c r="CM20" s="80"/>
      <c r="CN20" s="32"/>
      <c r="CO20" s="81"/>
      <c r="CP20" s="1"/>
    </row>
    <row r="21" ht="13.5" customHeight="1">
      <c r="A21" s="1"/>
      <c r="B21" s="96" t="s">
        <v>111</v>
      </c>
      <c r="C21" s="93"/>
      <c r="D21" s="80"/>
      <c r="E21" s="32"/>
      <c r="F21" s="81"/>
      <c r="G21" s="80"/>
      <c r="H21" s="32"/>
      <c r="I21" s="81"/>
      <c r="J21" s="80"/>
      <c r="K21" s="32"/>
      <c r="L21" s="81"/>
      <c r="M21" s="80"/>
      <c r="N21" s="32"/>
      <c r="O21" s="81"/>
      <c r="P21" s="80"/>
      <c r="Q21" s="32"/>
      <c r="R21" s="81"/>
      <c r="S21" s="80"/>
      <c r="T21" s="32"/>
      <c r="U21" s="81"/>
      <c r="V21" s="80"/>
      <c r="W21" s="32"/>
      <c r="X21" s="81"/>
      <c r="Y21" s="80"/>
      <c r="Z21" s="32"/>
      <c r="AA21" s="81"/>
      <c r="AB21" s="80"/>
      <c r="AC21" s="32"/>
      <c r="AD21" s="81"/>
      <c r="AE21" s="80"/>
      <c r="AF21" s="32"/>
      <c r="AG21" s="81"/>
      <c r="AH21" s="80"/>
      <c r="AI21" s="32"/>
      <c r="AJ21" s="81"/>
      <c r="AK21" s="80"/>
      <c r="AL21" s="32"/>
      <c r="AM21" s="81"/>
      <c r="AN21" s="80"/>
      <c r="AO21" s="32"/>
      <c r="AP21" s="81"/>
      <c r="AQ21" s="80"/>
      <c r="AR21" s="32"/>
      <c r="AS21" s="81"/>
      <c r="AT21" s="80"/>
      <c r="AU21" s="32"/>
      <c r="AV21" s="81"/>
      <c r="AW21" s="80"/>
      <c r="AX21" s="32"/>
      <c r="AY21" s="81"/>
      <c r="AZ21" s="80"/>
      <c r="BA21" s="32"/>
      <c r="BB21" s="81"/>
      <c r="BC21" s="80"/>
      <c r="BD21" s="32"/>
      <c r="BE21" s="81"/>
      <c r="BF21" s="80"/>
      <c r="BG21" s="32"/>
      <c r="BH21" s="81"/>
      <c r="BI21" s="80"/>
      <c r="BJ21" s="32"/>
      <c r="BK21" s="81"/>
      <c r="BL21" s="80"/>
      <c r="BM21" s="32"/>
      <c r="BN21" s="81"/>
      <c r="BO21" s="80"/>
      <c r="BP21" s="32"/>
      <c r="BQ21" s="81"/>
      <c r="BR21" s="80"/>
      <c r="BS21" s="32"/>
      <c r="BT21" s="81"/>
      <c r="BU21" s="80"/>
      <c r="BV21" s="32"/>
      <c r="BW21" s="81"/>
      <c r="BX21" s="80"/>
      <c r="BY21" s="32"/>
      <c r="BZ21" s="81"/>
      <c r="CA21" s="80"/>
      <c r="CB21" s="32"/>
      <c r="CC21" s="81"/>
      <c r="CD21" s="80"/>
      <c r="CE21" s="32"/>
      <c r="CF21" s="81"/>
      <c r="CG21" s="80"/>
      <c r="CH21" s="32"/>
      <c r="CI21" s="81"/>
      <c r="CJ21" s="80"/>
      <c r="CK21" s="32"/>
      <c r="CL21" s="81"/>
      <c r="CM21" s="80"/>
      <c r="CN21" s="32"/>
      <c r="CO21" s="81"/>
      <c r="CP21" s="1"/>
    </row>
    <row r="22" ht="9.75" customHeight="1">
      <c r="A22" s="1"/>
      <c r="B22" s="82"/>
      <c r="C22" s="93"/>
      <c r="D22" s="80"/>
      <c r="E22" s="32"/>
      <c r="F22" s="81"/>
      <c r="G22" s="80"/>
      <c r="H22" s="32"/>
      <c r="I22" s="81"/>
      <c r="J22" s="80"/>
      <c r="K22" s="32"/>
      <c r="L22" s="81"/>
      <c r="M22" s="80"/>
      <c r="N22" s="32"/>
      <c r="O22" s="81"/>
      <c r="P22" s="80"/>
      <c r="Q22" s="32"/>
      <c r="R22" s="81"/>
      <c r="S22" s="80"/>
      <c r="T22" s="32"/>
      <c r="U22" s="81"/>
      <c r="V22" s="80"/>
      <c r="W22" s="32"/>
      <c r="X22" s="81"/>
      <c r="Y22" s="80"/>
      <c r="Z22" s="32"/>
      <c r="AA22" s="81"/>
      <c r="AB22" s="80"/>
      <c r="AC22" s="32"/>
      <c r="AD22" s="81"/>
      <c r="AE22" s="80"/>
      <c r="AF22" s="32"/>
      <c r="AG22" s="81"/>
      <c r="AH22" s="80"/>
      <c r="AI22" s="32"/>
      <c r="AJ22" s="81"/>
      <c r="AK22" s="80"/>
      <c r="AL22" s="32"/>
      <c r="AM22" s="81"/>
      <c r="AN22" s="80"/>
      <c r="AO22" s="32"/>
      <c r="AP22" s="81"/>
      <c r="AQ22" s="80"/>
      <c r="AR22" s="32"/>
      <c r="AS22" s="81"/>
      <c r="AT22" s="80"/>
      <c r="AU22" s="32"/>
      <c r="AV22" s="81"/>
      <c r="AW22" s="80"/>
      <c r="AX22" s="32"/>
      <c r="AY22" s="81"/>
      <c r="AZ22" s="80"/>
      <c r="BA22" s="32"/>
      <c r="BB22" s="81"/>
      <c r="BC22" s="80"/>
      <c r="BD22" s="32"/>
      <c r="BE22" s="81"/>
      <c r="BF22" s="80"/>
      <c r="BG22" s="32"/>
      <c r="BH22" s="81"/>
      <c r="BI22" s="80"/>
      <c r="BJ22" s="32"/>
      <c r="BK22" s="81"/>
      <c r="BL22" s="80"/>
      <c r="BM22" s="32"/>
      <c r="BN22" s="81"/>
      <c r="BO22" s="80"/>
      <c r="BP22" s="32"/>
      <c r="BQ22" s="81"/>
      <c r="BR22" s="80"/>
      <c r="BS22" s="32"/>
      <c r="BT22" s="81"/>
      <c r="BU22" s="80"/>
      <c r="BV22" s="32"/>
      <c r="BW22" s="81"/>
      <c r="BX22" s="80"/>
      <c r="BY22" s="32"/>
      <c r="BZ22" s="81"/>
      <c r="CA22" s="80"/>
      <c r="CB22" s="32"/>
      <c r="CC22" s="81"/>
      <c r="CD22" s="80"/>
      <c r="CE22" s="32"/>
      <c r="CF22" s="81"/>
      <c r="CG22" s="80"/>
      <c r="CH22" s="32"/>
      <c r="CI22" s="81"/>
      <c r="CJ22" s="80"/>
      <c r="CK22" s="32"/>
      <c r="CL22" s="81"/>
      <c r="CM22" s="80"/>
      <c r="CN22" s="32"/>
      <c r="CO22" s="81"/>
      <c r="CP22" s="1"/>
    </row>
    <row r="23" ht="13.5" customHeight="1">
      <c r="A23" s="1"/>
      <c r="B23" s="97">
        <v>4.0</v>
      </c>
      <c r="C23" s="83" t="s">
        <v>112</v>
      </c>
      <c r="D23" s="80"/>
      <c r="E23" s="32"/>
      <c r="F23" s="81"/>
      <c r="G23" s="80"/>
      <c r="H23" s="32"/>
      <c r="I23" s="81"/>
      <c r="J23" s="80"/>
      <c r="K23" s="32"/>
      <c r="L23" s="81"/>
      <c r="M23" s="80"/>
      <c r="N23" s="32"/>
      <c r="O23" s="81"/>
      <c r="P23" s="80"/>
      <c r="Q23" s="32"/>
      <c r="R23" s="81"/>
      <c r="S23" s="80"/>
      <c r="T23" s="32"/>
      <c r="U23" s="81"/>
      <c r="V23" s="80"/>
      <c r="W23" s="32"/>
      <c r="X23" s="81"/>
      <c r="Y23" s="80"/>
      <c r="Z23" s="32"/>
      <c r="AA23" s="81"/>
      <c r="AB23" s="80"/>
      <c r="AC23" s="32"/>
      <c r="AD23" s="81"/>
      <c r="AE23" s="80"/>
      <c r="AF23" s="32"/>
      <c r="AG23" s="81"/>
      <c r="AH23" s="80"/>
      <c r="AI23" s="32"/>
      <c r="AJ23" s="81"/>
      <c r="AK23" s="80"/>
      <c r="AL23" s="32"/>
      <c r="AM23" s="81"/>
      <c r="AN23" s="80"/>
      <c r="AO23" s="32"/>
      <c r="AP23" s="81"/>
      <c r="AQ23" s="80"/>
      <c r="AR23" s="32"/>
      <c r="AS23" s="81"/>
      <c r="AT23" s="80"/>
      <c r="AU23" s="32"/>
      <c r="AV23" s="81"/>
      <c r="AW23" s="80"/>
      <c r="AX23" s="32"/>
      <c r="AY23" s="81"/>
      <c r="AZ23" s="80"/>
      <c r="BA23" s="32"/>
      <c r="BB23" s="81"/>
      <c r="BC23" s="80"/>
      <c r="BD23" s="32"/>
      <c r="BE23" s="81"/>
      <c r="BF23" s="80"/>
      <c r="BG23" s="32"/>
      <c r="BH23" s="81"/>
      <c r="BI23" s="80"/>
      <c r="BJ23" s="32"/>
      <c r="BK23" s="81"/>
      <c r="BL23" s="80"/>
      <c r="BM23" s="32"/>
      <c r="BN23" s="81"/>
      <c r="BO23" s="80"/>
      <c r="BP23" s="32"/>
      <c r="BQ23" s="81"/>
      <c r="BR23" s="80"/>
      <c r="BS23" s="32"/>
      <c r="BT23" s="81"/>
      <c r="BU23" s="80"/>
      <c r="BV23" s="32"/>
      <c r="BW23" s="81"/>
      <c r="BX23" s="80"/>
      <c r="BY23" s="32"/>
      <c r="BZ23" s="81"/>
      <c r="CA23" s="80"/>
      <c r="CB23" s="32"/>
      <c r="CC23" s="81"/>
      <c r="CD23" s="80"/>
      <c r="CE23" s="32"/>
      <c r="CF23" s="81"/>
      <c r="CG23" s="80"/>
      <c r="CH23" s="32"/>
      <c r="CI23" s="81"/>
      <c r="CJ23" s="80"/>
      <c r="CK23" s="32"/>
      <c r="CL23" s="81"/>
      <c r="CM23" s="80"/>
      <c r="CN23" s="32"/>
      <c r="CO23" s="81"/>
      <c r="CP23" s="1"/>
    </row>
    <row r="24" ht="9.75" customHeight="1">
      <c r="A24" s="1"/>
      <c r="B24" s="82"/>
      <c r="C24" s="93"/>
      <c r="D24" s="80"/>
      <c r="E24" s="32"/>
      <c r="F24" s="81"/>
      <c r="G24" s="80"/>
      <c r="H24" s="32"/>
      <c r="I24" s="81"/>
      <c r="J24" s="80"/>
      <c r="K24" s="32"/>
      <c r="L24" s="81"/>
      <c r="M24" s="80"/>
      <c r="N24" s="32"/>
      <c r="O24" s="81"/>
      <c r="P24" s="80"/>
      <c r="Q24" s="32"/>
      <c r="R24" s="81"/>
      <c r="S24" s="80"/>
      <c r="T24" s="32"/>
      <c r="U24" s="81"/>
      <c r="V24" s="80"/>
      <c r="W24" s="32"/>
      <c r="X24" s="81"/>
      <c r="Y24" s="80"/>
      <c r="Z24" s="32"/>
      <c r="AA24" s="81"/>
      <c r="AB24" s="80"/>
      <c r="AC24" s="32"/>
      <c r="AD24" s="81"/>
      <c r="AE24" s="80"/>
      <c r="AF24" s="32"/>
      <c r="AG24" s="81"/>
      <c r="AH24" s="80"/>
      <c r="AI24" s="32"/>
      <c r="AJ24" s="81"/>
      <c r="AK24" s="80"/>
      <c r="AL24" s="32"/>
      <c r="AM24" s="81"/>
      <c r="AN24" s="80"/>
      <c r="AO24" s="32"/>
      <c r="AP24" s="81"/>
      <c r="AQ24" s="80"/>
      <c r="AR24" s="32"/>
      <c r="AS24" s="81"/>
      <c r="AT24" s="80"/>
      <c r="AU24" s="32"/>
      <c r="AV24" s="81"/>
      <c r="AW24" s="80"/>
      <c r="AX24" s="32"/>
      <c r="AY24" s="81"/>
      <c r="AZ24" s="80"/>
      <c r="BA24" s="32"/>
      <c r="BB24" s="81"/>
      <c r="BC24" s="80"/>
      <c r="BD24" s="32"/>
      <c r="BE24" s="81"/>
      <c r="BF24" s="80"/>
      <c r="BG24" s="32"/>
      <c r="BH24" s="81"/>
      <c r="BI24" s="80"/>
      <c r="BJ24" s="32"/>
      <c r="BK24" s="81"/>
      <c r="BL24" s="80"/>
      <c r="BM24" s="32"/>
      <c r="BN24" s="81"/>
      <c r="BO24" s="80"/>
      <c r="BP24" s="32"/>
      <c r="BQ24" s="81"/>
      <c r="BR24" s="80"/>
      <c r="BS24" s="32"/>
      <c r="BT24" s="81"/>
      <c r="BU24" s="80"/>
      <c r="BV24" s="32"/>
      <c r="BW24" s="81"/>
      <c r="BX24" s="80"/>
      <c r="BY24" s="32"/>
      <c r="BZ24" s="81"/>
      <c r="CA24" s="80"/>
      <c r="CB24" s="32"/>
      <c r="CC24" s="81"/>
      <c r="CD24" s="80"/>
      <c r="CE24" s="32"/>
      <c r="CF24" s="81"/>
      <c r="CG24" s="80"/>
      <c r="CH24" s="32"/>
      <c r="CI24" s="81"/>
      <c r="CJ24" s="80"/>
      <c r="CK24" s="32"/>
      <c r="CL24" s="81"/>
      <c r="CM24" s="80"/>
      <c r="CN24" s="32"/>
      <c r="CO24" s="81"/>
      <c r="CP24" s="1"/>
    </row>
    <row r="25" ht="13.5" customHeight="1">
      <c r="A25" s="1"/>
      <c r="B25" s="82" t="s">
        <v>113</v>
      </c>
      <c r="C25" s="98" t="s">
        <v>114</v>
      </c>
      <c r="D25" s="99">
        <f>4862540-D28</f>
        <v>4238508</v>
      </c>
      <c r="E25" s="35" t="s">
        <v>99</v>
      </c>
      <c r="F25" s="86">
        <f>D25/D$8</f>
        <v>0.3463894576</v>
      </c>
      <c r="G25" s="99">
        <f>5074208-G28</f>
        <v>4415281.9</v>
      </c>
      <c r="H25" s="87">
        <f>(G25-D25)/D25</f>
        <v>0.04170663356</v>
      </c>
      <c r="I25" s="86">
        <f>G25/G$8</f>
        <v>0.3442714932</v>
      </c>
      <c r="J25" s="99">
        <f>5245949-J28</f>
        <v>4574605.117</v>
      </c>
      <c r="K25" s="87">
        <f>(J25-G25)/G25</f>
        <v>0.03608449485</v>
      </c>
      <c r="L25" s="86">
        <f>J25/J$8</f>
        <v>0.3385712258</v>
      </c>
      <c r="M25" s="99">
        <f>5423629-M28</f>
        <v>4739494.801</v>
      </c>
      <c r="N25" s="87">
        <f>(M25-J25)/J25</f>
        <v>0.036044572</v>
      </c>
      <c r="O25" s="86">
        <f>M25/M$8</f>
        <v>0.3339906839</v>
      </c>
      <c r="P25" s="99">
        <f>5607447-P28</f>
        <v>4910138.775</v>
      </c>
      <c r="Q25" s="87">
        <f>(P25-M25)/M25</f>
        <v>0.03600467586</v>
      </c>
      <c r="R25" s="86">
        <f>P25/P$8</f>
        <v>0.3302154595</v>
      </c>
      <c r="S25" s="99">
        <f>5801717-S28</f>
        <v>5090839.528</v>
      </c>
      <c r="T25" s="87">
        <f>(S25-P25)/P25</f>
        <v>0.03680155725</v>
      </c>
      <c r="U25" s="86">
        <f>S25/S$8</f>
        <v>0.3290250139</v>
      </c>
      <c r="V25" s="99">
        <f>5757663-V28</f>
        <v>5277809.204</v>
      </c>
      <c r="W25" s="87">
        <f>(V25-S25)/S25</f>
        <v>0.03672668816</v>
      </c>
      <c r="X25" s="86">
        <f>V25/V$8</f>
        <v>0.3267689814</v>
      </c>
      <c r="Y25" s="99">
        <f>5965506-Y28</f>
        <v>5471256.59</v>
      </c>
      <c r="Z25" s="87">
        <f>(Y25-V25)/V25</f>
        <v>0.0366529707</v>
      </c>
      <c r="AA25" s="86">
        <f>Y25/Y$8</f>
        <v>0.3236185248</v>
      </c>
      <c r="AB25" s="99">
        <f>6180475-AB28</f>
        <v>5671398.107</v>
      </c>
      <c r="AC25" s="87">
        <f>(AB25-Y25)/Y25</f>
        <v>0.03658053948</v>
      </c>
      <c r="AD25" s="86">
        <f>AB25/AB$8</f>
        <v>0.320889335</v>
      </c>
      <c r="AE25" s="99">
        <f>6402806-AE28</f>
        <v>5878456.801</v>
      </c>
      <c r="AF25" s="87">
        <f>(AE25-AB25)/AB25</f>
        <v>0.03650928559</v>
      </c>
      <c r="AG25" s="86">
        <f>AE25/AE$8</f>
        <v>0.3188315553</v>
      </c>
      <c r="AH25" s="99">
        <f>6632744-AH28</f>
        <v>6092664.325</v>
      </c>
      <c r="AI25" s="87">
        <f>(AH25-AE25)/AE25</f>
        <v>0.03643941451</v>
      </c>
      <c r="AJ25" s="86">
        <f>AH25/AH$8</f>
        <v>0.3145493856</v>
      </c>
      <c r="AK25" s="99">
        <f>6626538-AK28</f>
        <v>6070255.934</v>
      </c>
      <c r="AL25" s="87">
        <f>(AK25-AH25)/AH25</f>
        <v>-0.003677929567</v>
      </c>
      <c r="AM25" s="86">
        <f>AK25/AK$8</f>
        <v>0.2990642165</v>
      </c>
      <c r="AN25" s="99">
        <f>6872449-AN28</f>
        <v>6299478.472</v>
      </c>
      <c r="AO25" s="87">
        <f>(AN25-AK25)/AK25</f>
        <v>0.03776159366</v>
      </c>
      <c r="AP25" s="86">
        <f>AN25/AN$8</f>
        <v>0.2977984009</v>
      </c>
      <c r="AQ25" s="99">
        <f>7126746-AQ28</f>
        <v>6536586.357</v>
      </c>
      <c r="AR25" s="87">
        <f>(AQ25-AN25)/AN25</f>
        <v>0.03763928795</v>
      </c>
      <c r="AS25" s="86">
        <f>AQ25/AQ$8</f>
        <v>0.2960209386</v>
      </c>
      <c r="AT25" s="99">
        <f>7389704-AT28</f>
        <v>6781839.567</v>
      </c>
      <c r="AU25" s="87">
        <f>(AT25-AQ25)/AQ25</f>
        <v>0.03752007505</v>
      </c>
      <c r="AV25" s="86">
        <f>AT25/AT$8</f>
        <v>0.2936115494</v>
      </c>
      <c r="AW25" s="99">
        <f>7661610-AW28</f>
        <v>7035509.634</v>
      </c>
      <c r="AX25" s="87">
        <f>(AW25-AT25)/AT25</f>
        <v>0.03740431553</v>
      </c>
      <c r="AY25" s="86">
        <f>AW25/AW$8</f>
        <v>0.2917059367</v>
      </c>
      <c r="AZ25" s="99">
        <f>7942759-AZ28</f>
        <v>7297875.623</v>
      </c>
      <c r="BA25" s="87">
        <f>(AZ25-AW25)/AW25</f>
        <v>0.03729168215</v>
      </c>
      <c r="BB25" s="86">
        <f>AZ25/AZ$8</f>
        <v>0.2893284288</v>
      </c>
      <c r="BC25" s="99">
        <f>8233454-BC28</f>
        <v>7569224.122</v>
      </c>
      <c r="BD25" s="87">
        <f>(BC25-AZ25)/AZ25</f>
        <v>0.03718184753</v>
      </c>
      <c r="BE25" s="86">
        <f>BC25/BC$8</f>
        <v>0.2866641717</v>
      </c>
      <c r="BF25" s="99">
        <f>8534010-BF28</f>
        <v>7849853.226</v>
      </c>
      <c r="BG25" s="87">
        <f>(BF25-BC25)/BC25</f>
        <v>0.03707501577</v>
      </c>
      <c r="BH25" s="86">
        <f>BF25/BF$8</f>
        <v>0.2835673521</v>
      </c>
      <c r="BI25" s="99">
        <f>8844752-BI28</f>
        <v>8140070.522</v>
      </c>
      <c r="BJ25" s="87">
        <f>(BI25-BF25)/BF25</f>
        <v>0.03697104754</v>
      </c>
      <c r="BK25" s="86">
        <f>BI25/BI$8</f>
        <v>0.281157451</v>
      </c>
      <c r="BL25" s="99">
        <f>9166014-BL28</f>
        <v>8440192.078</v>
      </c>
      <c r="BM25" s="87">
        <f>(BL25-BI25)/BI25</f>
        <v>0.03686965056</v>
      </c>
      <c r="BN25" s="86">
        <f>BL25/BL$8</f>
        <v>0.2784622923</v>
      </c>
      <c r="BO25" s="99">
        <f>9498142-BO28</f>
        <v>8750545.42</v>
      </c>
      <c r="BP25" s="87">
        <f>(BO25-BL25)/BL25</f>
        <v>0.03677088619</v>
      </c>
      <c r="BQ25" s="86">
        <f>BO25/BO$8</f>
        <v>0.2749279866</v>
      </c>
      <c r="BR25" s="99">
        <f>9841492-BR28</f>
        <v>9071467.523</v>
      </c>
      <c r="BS25" s="87">
        <f>(BR25-BO25)/BO25</f>
        <v>0.03667452567</v>
      </c>
      <c r="BT25" s="86">
        <f>BR25/BR$8</f>
        <v>0.2726538885</v>
      </c>
      <c r="BU25" s="99">
        <f>10196432-BU28</f>
        <v>9403306.789</v>
      </c>
      <c r="BV25" s="87">
        <f>(BU25-BR25)/BR25</f>
        <v>0.03658054938</v>
      </c>
      <c r="BW25" s="86">
        <f>BU25/BU$8</f>
        <v>0.2696056766</v>
      </c>
      <c r="BX25" s="99">
        <f>10563343-BX28</f>
        <v>9746424.032</v>
      </c>
      <c r="BY25" s="87">
        <f>(BX25-BU25)/BU25</f>
        <v>0.03648899811</v>
      </c>
      <c r="BZ25" s="86">
        <f>BX25/BX$8</f>
        <v>0.2664886881</v>
      </c>
      <c r="CA25" s="99">
        <f>10942617-CA28</f>
        <v>10101190.46</v>
      </c>
      <c r="CB25" s="87">
        <f>(CA25-BX25)/BX25</f>
        <v>0.03639965076</v>
      </c>
      <c r="CC25" s="86">
        <f>CA25/CA$8</f>
        <v>0.2639522972</v>
      </c>
      <c r="CD25" s="99">
        <f>11334658-CD28</f>
        <v>10467988.67</v>
      </c>
      <c r="CE25" s="87">
        <f>(CD25-CA25)/CA25</f>
        <v>0.0363123738</v>
      </c>
      <c r="CF25" s="86">
        <f>CD25/CD$8</f>
        <v>0.2613795268</v>
      </c>
      <c r="CG25" s="99">
        <f>11739884-CG28</f>
        <v>10847214.59</v>
      </c>
      <c r="CH25" s="87">
        <f>(CG25-CD25)/CD25</f>
        <v>0.03622720009</v>
      </c>
      <c r="CI25" s="86">
        <f>CG25/CG$8</f>
        <v>0.2583069901</v>
      </c>
      <c r="CJ25" s="99">
        <f>12158727-CJ28</f>
        <v>11239277.5</v>
      </c>
      <c r="CK25" s="87">
        <f>(CJ25-CG25)/CG25</f>
        <v>0.03614411004</v>
      </c>
      <c r="CL25" s="86">
        <f>CJ25/CJ$8</f>
        <v>0.2557258167</v>
      </c>
      <c r="CM25" s="99">
        <f>12591631-CM28</f>
        <v>11644598.02</v>
      </c>
      <c r="CN25" s="87">
        <f>(CM25-CJ25)/CJ25</f>
        <v>0.03606286213</v>
      </c>
      <c r="CO25" s="86">
        <f>CM25/CM$8</f>
        <v>0.2528164227</v>
      </c>
      <c r="CP25" s="1"/>
    </row>
    <row r="26" ht="13.5" customHeight="1">
      <c r="A26" s="1"/>
      <c r="B26" s="82"/>
      <c r="C26" s="34"/>
      <c r="D26" s="99"/>
      <c r="E26" s="35"/>
      <c r="F26" s="100"/>
      <c r="G26" s="99"/>
      <c r="H26" s="87"/>
      <c r="I26" s="100"/>
      <c r="J26" s="99"/>
      <c r="K26" s="87"/>
      <c r="L26" s="100"/>
      <c r="M26" s="99"/>
      <c r="N26" s="87"/>
      <c r="O26" s="100"/>
      <c r="P26" s="99"/>
      <c r="Q26" s="87"/>
      <c r="R26" s="100"/>
      <c r="S26" s="99"/>
      <c r="T26" s="87"/>
      <c r="U26" s="100"/>
      <c r="V26" s="99"/>
      <c r="W26" s="87"/>
      <c r="X26" s="100"/>
      <c r="Y26" s="99"/>
      <c r="Z26" s="87"/>
      <c r="AA26" s="100"/>
      <c r="AB26" s="99"/>
      <c r="AC26" s="87"/>
      <c r="AD26" s="100"/>
      <c r="AE26" s="99"/>
      <c r="AF26" s="87"/>
      <c r="AG26" s="100"/>
      <c r="AH26" s="99"/>
      <c r="AI26" s="87"/>
      <c r="AJ26" s="100"/>
      <c r="AK26" s="99"/>
      <c r="AL26" s="87"/>
      <c r="AM26" s="100"/>
      <c r="AN26" s="99"/>
      <c r="AO26" s="87"/>
      <c r="AP26" s="100"/>
      <c r="AQ26" s="99"/>
      <c r="AR26" s="87"/>
      <c r="AS26" s="100"/>
      <c r="AT26" s="99"/>
      <c r="AU26" s="87"/>
      <c r="AV26" s="100"/>
      <c r="AW26" s="99"/>
      <c r="AX26" s="87"/>
      <c r="AY26" s="100"/>
      <c r="AZ26" s="99"/>
      <c r="BA26" s="87"/>
      <c r="BB26" s="100"/>
      <c r="BC26" s="99"/>
      <c r="BD26" s="87"/>
      <c r="BE26" s="100"/>
      <c r="BF26" s="99"/>
      <c r="BG26" s="87"/>
      <c r="BH26" s="100"/>
      <c r="BI26" s="99"/>
      <c r="BJ26" s="87"/>
      <c r="BK26" s="100"/>
      <c r="BL26" s="99"/>
      <c r="BM26" s="87"/>
      <c r="BN26" s="100"/>
      <c r="BO26" s="99"/>
      <c r="BP26" s="87"/>
      <c r="BQ26" s="100"/>
      <c r="BR26" s="99"/>
      <c r="BS26" s="87"/>
      <c r="BT26" s="100"/>
      <c r="BU26" s="99"/>
      <c r="BV26" s="87"/>
      <c r="BW26" s="100"/>
      <c r="BX26" s="99"/>
      <c r="BY26" s="87"/>
      <c r="BZ26" s="100"/>
      <c r="CA26" s="99"/>
      <c r="CB26" s="87"/>
      <c r="CC26" s="100"/>
      <c r="CD26" s="99"/>
      <c r="CE26" s="87"/>
      <c r="CF26" s="100"/>
      <c r="CG26" s="99"/>
      <c r="CH26" s="87"/>
      <c r="CI26" s="100"/>
      <c r="CJ26" s="99"/>
      <c r="CK26" s="87"/>
      <c r="CL26" s="100"/>
      <c r="CM26" s="99"/>
      <c r="CN26" s="87"/>
      <c r="CO26" s="100"/>
      <c r="CP26" s="1"/>
    </row>
    <row r="27" ht="9.75" customHeight="1">
      <c r="A27" s="1"/>
      <c r="B27" s="82"/>
      <c r="C27" s="84"/>
      <c r="D27" s="99"/>
      <c r="E27" s="35"/>
      <c r="F27" s="100"/>
      <c r="G27" s="99"/>
      <c r="H27" s="35"/>
      <c r="I27" s="100"/>
      <c r="J27" s="99"/>
      <c r="K27" s="35"/>
      <c r="L27" s="100"/>
      <c r="M27" s="99"/>
      <c r="N27" s="35"/>
      <c r="O27" s="100"/>
      <c r="P27" s="99"/>
      <c r="Q27" s="35"/>
      <c r="R27" s="100"/>
      <c r="S27" s="99"/>
      <c r="T27" s="35"/>
      <c r="U27" s="100"/>
      <c r="V27" s="99"/>
      <c r="W27" s="35"/>
      <c r="X27" s="100"/>
      <c r="Y27" s="99"/>
      <c r="Z27" s="35"/>
      <c r="AA27" s="100"/>
      <c r="AB27" s="99"/>
      <c r="AC27" s="35"/>
      <c r="AD27" s="100"/>
      <c r="AE27" s="99"/>
      <c r="AF27" s="35"/>
      <c r="AG27" s="100"/>
      <c r="AH27" s="99"/>
      <c r="AI27" s="35"/>
      <c r="AJ27" s="100"/>
      <c r="AK27" s="99"/>
      <c r="AL27" s="35"/>
      <c r="AM27" s="100"/>
      <c r="AN27" s="99"/>
      <c r="AO27" s="35"/>
      <c r="AP27" s="100"/>
      <c r="AQ27" s="99"/>
      <c r="AR27" s="35"/>
      <c r="AS27" s="100"/>
      <c r="AT27" s="99"/>
      <c r="AU27" s="35"/>
      <c r="AV27" s="100"/>
      <c r="AW27" s="99"/>
      <c r="AX27" s="35"/>
      <c r="AY27" s="100"/>
      <c r="AZ27" s="99"/>
      <c r="BA27" s="35"/>
      <c r="BB27" s="100"/>
      <c r="BC27" s="99"/>
      <c r="BD27" s="35"/>
      <c r="BE27" s="100"/>
      <c r="BF27" s="99"/>
      <c r="BG27" s="35"/>
      <c r="BH27" s="100"/>
      <c r="BI27" s="99"/>
      <c r="BJ27" s="35"/>
      <c r="BK27" s="100"/>
      <c r="BL27" s="99"/>
      <c r="BM27" s="35"/>
      <c r="BN27" s="100"/>
      <c r="BO27" s="99"/>
      <c r="BP27" s="35"/>
      <c r="BQ27" s="100"/>
      <c r="BR27" s="99"/>
      <c r="BS27" s="35"/>
      <c r="BT27" s="100"/>
      <c r="BU27" s="99"/>
      <c r="BV27" s="35"/>
      <c r="BW27" s="100"/>
      <c r="BX27" s="99"/>
      <c r="BY27" s="35"/>
      <c r="BZ27" s="100"/>
      <c r="CA27" s="99"/>
      <c r="CB27" s="35"/>
      <c r="CC27" s="100"/>
      <c r="CD27" s="99"/>
      <c r="CE27" s="35"/>
      <c r="CF27" s="100"/>
      <c r="CG27" s="99"/>
      <c r="CH27" s="35"/>
      <c r="CI27" s="100"/>
      <c r="CJ27" s="99"/>
      <c r="CK27" s="35"/>
      <c r="CL27" s="100"/>
      <c r="CM27" s="99"/>
      <c r="CN27" s="35"/>
      <c r="CO27" s="100"/>
      <c r="CP27" s="1"/>
    </row>
    <row r="28" ht="13.5" customHeight="1">
      <c r="A28" s="1"/>
      <c r="B28" s="82" t="s">
        <v>100</v>
      </c>
      <c r="C28" s="84" t="s">
        <v>115</v>
      </c>
      <c r="D28" s="99">
        <v>624032.0</v>
      </c>
      <c r="E28" s="35" t="s">
        <v>99</v>
      </c>
      <c r="F28" s="86">
        <f>D28/D$8</f>
        <v>0.05099863112</v>
      </c>
      <c r="G28" s="99">
        <f>G29+G30</f>
        <v>658926.1</v>
      </c>
      <c r="H28" s="87">
        <f>(G28-D28)/D28</f>
        <v>0.0559171645</v>
      </c>
      <c r="I28" s="86">
        <f>G28/G$8</f>
        <v>0.05137825341</v>
      </c>
      <c r="J28" s="99">
        <f>J29+J30</f>
        <v>671343.883</v>
      </c>
      <c r="K28" s="87">
        <f>(J28-G28)/G28</f>
        <v>0.01884548662</v>
      </c>
      <c r="L28" s="86">
        <f>J28/J$8</f>
        <v>0.04968685068</v>
      </c>
      <c r="M28" s="99">
        <f>M29+M30</f>
        <v>684134.1995</v>
      </c>
      <c r="N28" s="87">
        <f>(M28-J28)/J28</f>
        <v>0.01905181058</v>
      </c>
      <c r="O28" s="86">
        <f>M28/M$8</f>
        <v>0.0482107184</v>
      </c>
      <c r="P28" s="99">
        <f>P29+P30</f>
        <v>697308.2255</v>
      </c>
      <c r="Q28" s="87">
        <f>(P28-M28)/M28</f>
        <v>0.01925649382</v>
      </c>
      <c r="R28" s="86">
        <f>P28/P$8</f>
        <v>0.0468952033</v>
      </c>
      <c r="S28" s="99">
        <f>S29+S30</f>
        <v>710877.4722</v>
      </c>
      <c r="T28" s="87">
        <f>(S28-P28)/P28</f>
        <v>0.01945946752</v>
      </c>
      <c r="U28" s="86">
        <f>S28/S$8</f>
        <v>0.0459445773</v>
      </c>
      <c r="V28" s="99">
        <f>V29+V30</f>
        <v>479853.7964</v>
      </c>
      <c r="W28" s="87">
        <f>(V28-S28)/S28</f>
        <v>-0.3249838191</v>
      </c>
      <c r="X28" s="86">
        <f>V28/V$8</f>
        <v>0.02970954997</v>
      </c>
      <c r="Y28" s="99">
        <f>Y29+Y30</f>
        <v>494249.4103</v>
      </c>
      <c r="Z28" s="87">
        <f>(Y28-V28)/V28</f>
        <v>0.03</v>
      </c>
      <c r="AA28" s="86">
        <f>Y28/Y$8</f>
        <v>0.02923428328</v>
      </c>
      <c r="AB28" s="99">
        <f>AB29+AB30</f>
        <v>509076.8926</v>
      </c>
      <c r="AC28" s="87">
        <f>(AB28-Y28)/Y28</f>
        <v>0.03</v>
      </c>
      <c r="AD28" s="86">
        <f>AB28/AB$8</f>
        <v>0.02880371691</v>
      </c>
      <c r="AE28" s="99">
        <f>AE29+AE30</f>
        <v>524349.1994</v>
      </c>
      <c r="AF28" s="87">
        <f>(AE28-AB28)/AB28</f>
        <v>0.03</v>
      </c>
      <c r="AG28" s="86">
        <f>AE28/AE$8</f>
        <v>0.02843927861</v>
      </c>
      <c r="AH28" s="99">
        <f>AH29+AH30</f>
        <v>540079.6754</v>
      </c>
      <c r="AI28" s="87">
        <f>(AH28-AE28)/AE28</f>
        <v>0.03</v>
      </c>
      <c r="AJ28" s="86">
        <f>AH28/AH$8</f>
        <v>0.02788299519</v>
      </c>
      <c r="AK28" s="99">
        <f>AK29+AK30</f>
        <v>556282.0656</v>
      </c>
      <c r="AL28" s="87">
        <f>(AK28-AH28)/AH28</f>
        <v>0.03</v>
      </c>
      <c r="AM28" s="86">
        <f>AK28/AK$8</f>
        <v>0.0274064326</v>
      </c>
      <c r="AN28" s="99">
        <f>AN29+AN30</f>
        <v>572970.5276</v>
      </c>
      <c r="AO28" s="87">
        <f>(AN28-AK28)/AK28</f>
        <v>0.03</v>
      </c>
      <c r="AP28" s="86">
        <f>AN28/AN$8</f>
        <v>0.02708632272</v>
      </c>
      <c r="AQ28" s="99">
        <f>AQ29+AQ30</f>
        <v>590159.6434</v>
      </c>
      <c r="AR28" s="87">
        <f>(AQ28-AN28)/AN28</f>
        <v>0.03</v>
      </c>
      <c r="AS28" s="86">
        <f>AQ28/AQ$8</f>
        <v>0.02672642907</v>
      </c>
      <c r="AT28" s="99">
        <f>AT29+AT30</f>
        <v>607864.4327</v>
      </c>
      <c r="AU28" s="87">
        <f>(AT28-AQ28)/AQ28</f>
        <v>0.03</v>
      </c>
      <c r="AV28" s="86">
        <f>AT28/AT$8</f>
        <v>0.02631675611</v>
      </c>
      <c r="AW28" s="99">
        <f>AW29+AW30</f>
        <v>626100.3657</v>
      </c>
      <c r="AX28" s="87">
        <f>(AW28-AT28)/AT28</f>
        <v>0.03</v>
      </c>
      <c r="AY28" s="86">
        <f>AW28/AW$8</f>
        <v>0.02595934099</v>
      </c>
      <c r="AZ28" s="99">
        <f>AZ29+AZ30</f>
        <v>644883.3767</v>
      </c>
      <c r="BA28" s="87">
        <f>(AZ28-AW28)/AW28</f>
        <v>0.03</v>
      </c>
      <c r="BB28" s="86">
        <f>AZ28/AZ$8</f>
        <v>0.02556676816</v>
      </c>
      <c r="BC28" s="99">
        <f>BC29+BC30</f>
        <v>664229.878</v>
      </c>
      <c r="BD28" s="87">
        <f>(BC28-AZ28)/AZ28</f>
        <v>0.03</v>
      </c>
      <c r="BE28" s="86">
        <f>BC28/BC$8</f>
        <v>0.02515593471</v>
      </c>
      <c r="BF28" s="99">
        <f>BF29+BF30</f>
        <v>684156.7743</v>
      </c>
      <c r="BG28" s="87">
        <f>(BF28-BC28)/BC28</f>
        <v>0.03</v>
      </c>
      <c r="BH28" s="86">
        <f>BF28/BF$8</f>
        <v>0.02471441432</v>
      </c>
      <c r="BI28" s="99">
        <f>BI29+BI30</f>
        <v>704681.4776</v>
      </c>
      <c r="BJ28" s="87">
        <f>(BI28-BF28)/BF28</f>
        <v>0.03</v>
      </c>
      <c r="BK28" s="86">
        <f>BI28/BI$8</f>
        <v>0.02433964761</v>
      </c>
      <c r="BL28" s="99">
        <f>BL29+BL30</f>
        <v>725821.9219</v>
      </c>
      <c r="BM28" s="87">
        <f>(BL28-BI28)/BI28</f>
        <v>0.03</v>
      </c>
      <c r="BN28" s="86">
        <f>BL28/BL$8</f>
        <v>0.0239466157</v>
      </c>
      <c r="BO28" s="99">
        <f>BO29+BO30</f>
        <v>747596.5795</v>
      </c>
      <c r="BP28" s="87">
        <f>(BO28-BL28)/BL28</f>
        <v>0.03</v>
      </c>
      <c r="BQ28" s="86">
        <f>BO28/BO$8</f>
        <v>0.02348827559</v>
      </c>
      <c r="BR28" s="99">
        <f>BR29+BR30</f>
        <v>770024.4769</v>
      </c>
      <c r="BS28" s="87">
        <f>(BR28-BO28)/BO28</f>
        <v>0.03</v>
      </c>
      <c r="BT28" s="86">
        <f>BR28/BR$8</f>
        <v>0.02314401361</v>
      </c>
      <c r="BU28" s="99">
        <f>BU29+BU30</f>
        <v>793125.2112</v>
      </c>
      <c r="BV28" s="87">
        <f>(BU28-BR28)/BR28</f>
        <v>0.03</v>
      </c>
      <c r="BW28" s="86">
        <f>BU28/BU$8</f>
        <v>0.02273998541</v>
      </c>
      <c r="BX28" s="99">
        <f>BX29+BX30</f>
        <v>816918.9676</v>
      </c>
      <c r="BY28" s="87">
        <f>(BX28-BU28)/BU28</f>
        <v>0.03</v>
      </c>
      <c r="BZ28" s="86">
        <f>BX28/BX$8</f>
        <v>0.02233636287</v>
      </c>
      <c r="CA28" s="99">
        <f>CA29+CA30</f>
        <v>841426.5366</v>
      </c>
      <c r="CB28" s="87">
        <f>(CA28-BX28)/BX28</f>
        <v>0.03</v>
      </c>
      <c r="CC28" s="86">
        <f>CA28/CA$8</f>
        <v>0.02198715766</v>
      </c>
      <c r="CD28" s="99">
        <f>CD29+CD30</f>
        <v>866669.3327</v>
      </c>
      <c r="CE28" s="87">
        <f>(CD28-CA28)/CA28</f>
        <v>0.03</v>
      </c>
      <c r="CF28" s="86">
        <f>CD28/CD$8</f>
        <v>0.02164022404</v>
      </c>
      <c r="CG28" s="99">
        <f>CG29+CG30</f>
        <v>892669.4127</v>
      </c>
      <c r="CH28" s="87">
        <f>(CG28-CD28)/CD28</f>
        <v>0.03</v>
      </c>
      <c r="CI28" s="86">
        <f>CG28/CG$8</f>
        <v>0.02125732346</v>
      </c>
      <c r="CJ28" s="99">
        <f>CJ29+CJ30</f>
        <v>919449.4951</v>
      </c>
      <c r="CK28" s="87">
        <f>(CJ28-CG28)/CG28</f>
        <v>0.03</v>
      </c>
      <c r="CL28" s="86">
        <f>CJ28/CJ$8</f>
        <v>0.02092011456</v>
      </c>
      <c r="CM28" s="99">
        <f>CM29+CM30</f>
        <v>947032.9799</v>
      </c>
      <c r="CN28" s="87">
        <f>(CM28-CJ28)/CJ28</f>
        <v>0.03</v>
      </c>
      <c r="CO28" s="86">
        <f>CM28/CM$8</f>
        <v>0.02056107817</v>
      </c>
      <c r="CP28" s="1"/>
    </row>
    <row r="29" ht="13.5" hidden="1" customHeight="1">
      <c r="A29" s="1"/>
      <c r="B29" s="82"/>
      <c r="C29" s="101" t="s">
        <v>116</v>
      </c>
      <c r="D29" s="99">
        <v>379032.0</v>
      </c>
      <c r="E29" s="35"/>
      <c r="F29" s="100"/>
      <c r="G29" s="99">
        <f>(D29+22838)*1.03</f>
        <v>413926.1</v>
      </c>
      <c r="H29" s="87"/>
      <c r="I29" s="100"/>
      <c r="J29" s="99">
        <f>G29*1.03</f>
        <v>426343.883</v>
      </c>
      <c r="K29" s="87"/>
      <c r="L29" s="100"/>
      <c r="M29" s="99">
        <f>J29*1.03</f>
        <v>439134.1995</v>
      </c>
      <c r="N29" s="87"/>
      <c r="O29" s="100"/>
      <c r="P29" s="99">
        <f>M29*1.03</f>
        <v>452308.2255</v>
      </c>
      <c r="Q29" s="87"/>
      <c r="R29" s="100"/>
      <c r="S29" s="99">
        <f>P29*1.03</f>
        <v>465877.4722</v>
      </c>
      <c r="T29" s="87"/>
      <c r="U29" s="100"/>
      <c r="V29" s="99">
        <f>S29*1.03</f>
        <v>479853.7964</v>
      </c>
      <c r="W29" s="87"/>
      <c r="X29" s="100"/>
      <c r="Y29" s="99">
        <f>V29*1.03</f>
        <v>494249.4103</v>
      </c>
      <c r="Z29" s="87"/>
      <c r="AA29" s="100"/>
      <c r="AB29" s="99">
        <f>Y29*1.03</f>
        <v>509076.8926</v>
      </c>
      <c r="AC29" s="87"/>
      <c r="AD29" s="100"/>
      <c r="AE29" s="99">
        <f>AB29*1.03</f>
        <v>524349.1994</v>
      </c>
      <c r="AF29" s="87"/>
      <c r="AG29" s="100"/>
      <c r="AH29" s="99">
        <f>AE29*1.03</f>
        <v>540079.6754</v>
      </c>
      <c r="AI29" s="87"/>
      <c r="AJ29" s="100"/>
      <c r="AK29" s="99">
        <f>AH29*1.03</f>
        <v>556282.0656</v>
      </c>
      <c r="AL29" s="87"/>
      <c r="AM29" s="100"/>
      <c r="AN29" s="99">
        <f>AK29*1.03</f>
        <v>572970.5276</v>
      </c>
      <c r="AO29" s="87"/>
      <c r="AP29" s="100"/>
      <c r="AQ29" s="99">
        <f>AN29*1.03</f>
        <v>590159.6434</v>
      </c>
      <c r="AR29" s="87"/>
      <c r="AS29" s="100"/>
      <c r="AT29" s="99">
        <f>AQ29*1.03</f>
        <v>607864.4327</v>
      </c>
      <c r="AU29" s="87"/>
      <c r="AV29" s="100"/>
      <c r="AW29" s="99">
        <f>AT29*1.03</f>
        <v>626100.3657</v>
      </c>
      <c r="AX29" s="87"/>
      <c r="AY29" s="100"/>
      <c r="AZ29" s="99">
        <f>AW29*1.03</f>
        <v>644883.3767</v>
      </c>
      <c r="BA29" s="87"/>
      <c r="BB29" s="100"/>
      <c r="BC29" s="99">
        <f>AZ29*1.03</f>
        <v>664229.878</v>
      </c>
      <c r="BD29" s="87"/>
      <c r="BE29" s="100"/>
      <c r="BF29" s="99">
        <f>BC29*1.03</f>
        <v>684156.7743</v>
      </c>
      <c r="BG29" s="87"/>
      <c r="BH29" s="100"/>
      <c r="BI29" s="99">
        <f>BF29*1.03</f>
        <v>704681.4776</v>
      </c>
      <c r="BJ29" s="87"/>
      <c r="BK29" s="100"/>
      <c r="BL29" s="99">
        <f>BI29*1.03</f>
        <v>725821.9219</v>
      </c>
      <c r="BM29" s="87"/>
      <c r="BN29" s="100"/>
      <c r="BO29" s="99">
        <f>BL29*1.03</f>
        <v>747596.5795</v>
      </c>
      <c r="BP29" s="87"/>
      <c r="BQ29" s="100"/>
      <c r="BR29" s="99">
        <f>BO29*1.03</f>
        <v>770024.4769</v>
      </c>
      <c r="BS29" s="87"/>
      <c r="BT29" s="100"/>
      <c r="BU29" s="99">
        <f>BR29*1.03</f>
        <v>793125.2112</v>
      </c>
      <c r="BV29" s="87"/>
      <c r="BW29" s="100"/>
      <c r="BX29" s="99">
        <f>BU29*1.03</f>
        <v>816918.9676</v>
      </c>
      <c r="BY29" s="87"/>
      <c r="BZ29" s="100"/>
      <c r="CA29" s="99">
        <f>BX29*1.03</f>
        <v>841426.5366</v>
      </c>
      <c r="CB29" s="87"/>
      <c r="CC29" s="100"/>
      <c r="CD29" s="99">
        <f>CA29*1.03</f>
        <v>866669.3327</v>
      </c>
      <c r="CE29" s="87"/>
      <c r="CF29" s="100"/>
      <c r="CG29" s="99">
        <f>CD29*1.03</f>
        <v>892669.4127</v>
      </c>
      <c r="CH29" s="87"/>
      <c r="CI29" s="100"/>
      <c r="CJ29" s="99">
        <f>CG29*1.03</f>
        <v>919449.495</v>
      </c>
      <c r="CK29" s="87"/>
      <c r="CL29" s="100"/>
      <c r="CM29" s="99">
        <f>CJ29*1.03</f>
        <v>947032.9799</v>
      </c>
      <c r="CN29" s="87"/>
      <c r="CO29" s="100"/>
      <c r="CP29" s="1"/>
    </row>
    <row r="30" ht="13.5" hidden="1" customHeight="1">
      <c r="A30" s="1"/>
      <c r="B30" s="82"/>
      <c r="C30" s="101" t="s">
        <v>117</v>
      </c>
      <c r="D30" s="99">
        <v>245000.0</v>
      </c>
      <c r="E30" s="35"/>
      <c r="F30" s="100"/>
      <c r="G30" s="99">
        <v>245000.0</v>
      </c>
      <c r="H30" s="87"/>
      <c r="I30" s="100"/>
      <c r="J30" s="99">
        <v>245000.0</v>
      </c>
      <c r="K30" s="87"/>
      <c r="L30" s="100"/>
      <c r="M30" s="99">
        <v>245000.0</v>
      </c>
      <c r="N30" s="87"/>
      <c r="O30" s="100"/>
      <c r="P30" s="99">
        <v>245000.0</v>
      </c>
      <c r="Q30" s="87"/>
      <c r="R30" s="100"/>
      <c r="S30" s="99">
        <v>245000.0</v>
      </c>
      <c r="T30" s="87"/>
      <c r="U30" s="100"/>
      <c r="V30" s="99">
        <v>1.0E-5</v>
      </c>
      <c r="W30" s="87"/>
      <c r="X30" s="100"/>
      <c r="Y30" s="99">
        <v>1.0E-5</v>
      </c>
      <c r="Z30" s="87"/>
      <c r="AA30" s="100"/>
      <c r="AB30" s="99">
        <v>1.0E-5</v>
      </c>
      <c r="AC30" s="87"/>
      <c r="AD30" s="100"/>
      <c r="AE30" s="99">
        <v>1.0E-5</v>
      </c>
      <c r="AF30" s="87"/>
      <c r="AG30" s="100"/>
      <c r="AH30" s="99">
        <v>1.0E-5</v>
      </c>
      <c r="AI30" s="87"/>
      <c r="AJ30" s="100"/>
      <c r="AK30" s="99">
        <v>1.0E-5</v>
      </c>
      <c r="AL30" s="87"/>
      <c r="AM30" s="100"/>
      <c r="AN30" s="99">
        <v>1.0E-5</v>
      </c>
      <c r="AO30" s="87"/>
      <c r="AP30" s="100"/>
      <c r="AQ30" s="99">
        <v>1.0E-5</v>
      </c>
      <c r="AR30" s="87"/>
      <c r="AS30" s="100"/>
      <c r="AT30" s="99">
        <v>1.0E-5</v>
      </c>
      <c r="AU30" s="87"/>
      <c r="AV30" s="100"/>
      <c r="AW30" s="99">
        <v>1.0E-5</v>
      </c>
      <c r="AX30" s="87"/>
      <c r="AY30" s="100"/>
      <c r="AZ30" s="99">
        <v>1.0E-5</v>
      </c>
      <c r="BA30" s="87"/>
      <c r="BB30" s="100"/>
      <c r="BC30" s="99">
        <v>1.0E-5</v>
      </c>
      <c r="BD30" s="87"/>
      <c r="BE30" s="100"/>
      <c r="BF30" s="99">
        <v>1.0E-5</v>
      </c>
      <c r="BG30" s="87"/>
      <c r="BH30" s="100"/>
      <c r="BI30" s="99">
        <v>1.0E-5</v>
      </c>
      <c r="BJ30" s="87"/>
      <c r="BK30" s="100"/>
      <c r="BL30" s="99">
        <v>1.0E-5</v>
      </c>
      <c r="BM30" s="87"/>
      <c r="BN30" s="100"/>
      <c r="BO30" s="99">
        <v>1.0E-5</v>
      </c>
      <c r="BP30" s="87"/>
      <c r="BQ30" s="100"/>
      <c r="BR30" s="99">
        <v>1.0E-5</v>
      </c>
      <c r="BS30" s="87"/>
      <c r="BT30" s="100"/>
      <c r="BU30" s="99">
        <v>1.0E-5</v>
      </c>
      <c r="BV30" s="87"/>
      <c r="BW30" s="100"/>
      <c r="BX30" s="99">
        <v>1.0E-5</v>
      </c>
      <c r="BY30" s="87"/>
      <c r="BZ30" s="100"/>
      <c r="CA30" s="99">
        <v>1.0E-5</v>
      </c>
      <c r="CB30" s="87"/>
      <c r="CC30" s="100"/>
      <c r="CD30" s="99">
        <v>1.0E-5</v>
      </c>
      <c r="CE30" s="87"/>
      <c r="CF30" s="100"/>
      <c r="CG30" s="99">
        <v>1.0E-5</v>
      </c>
      <c r="CH30" s="87"/>
      <c r="CI30" s="100"/>
      <c r="CJ30" s="99">
        <v>1.0E-5</v>
      </c>
      <c r="CK30" s="87"/>
      <c r="CL30" s="100"/>
      <c r="CM30" s="99">
        <v>1.0E-5</v>
      </c>
      <c r="CN30" s="87"/>
      <c r="CO30" s="100"/>
      <c r="CP30" s="1"/>
    </row>
    <row r="31" ht="9.75" customHeight="1">
      <c r="A31" s="1"/>
      <c r="B31" s="88"/>
      <c r="C31" s="102"/>
      <c r="D31" s="103"/>
      <c r="E31" s="36"/>
      <c r="F31" s="104"/>
      <c r="G31" s="103"/>
      <c r="H31" s="92"/>
      <c r="I31" s="104"/>
      <c r="J31" s="103"/>
      <c r="K31" s="92"/>
      <c r="L31" s="104"/>
      <c r="M31" s="103"/>
      <c r="N31" s="92"/>
      <c r="O31" s="104"/>
      <c r="P31" s="103"/>
      <c r="Q31" s="92"/>
      <c r="R31" s="104"/>
      <c r="S31" s="103"/>
      <c r="T31" s="92"/>
      <c r="U31" s="104"/>
      <c r="V31" s="103"/>
      <c r="W31" s="92"/>
      <c r="X31" s="104"/>
      <c r="Y31" s="103"/>
      <c r="Z31" s="92"/>
      <c r="AA31" s="104"/>
      <c r="AB31" s="103"/>
      <c r="AC31" s="92"/>
      <c r="AD31" s="104"/>
      <c r="AE31" s="103"/>
      <c r="AF31" s="92"/>
      <c r="AG31" s="104"/>
      <c r="AH31" s="103"/>
      <c r="AI31" s="92"/>
      <c r="AJ31" s="104"/>
      <c r="AK31" s="103"/>
      <c r="AL31" s="92"/>
      <c r="AM31" s="104"/>
      <c r="AN31" s="103"/>
      <c r="AO31" s="92"/>
      <c r="AP31" s="104"/>
      <c r="AQ31" s="103"/>
      <c r="AR31" s="92"/>
      <c r="AS31" s="104"/>
      <c r="AT31" s="103"/>
      <c r="AU31" s="92"/>
      <c r="AV31" s="104"/>
      <c r="AW31" s="103"/>
      <c r="AX31" s="92"/>
      <c r="AY31" s="104"/>
      <c r="AZ31" s="103"/>
      <c r="BA31" s="92"/>
      <c r="BB31" s="104"/>
      <c r="BC31" s="103"/>
      <c r="BD31" s="92"/>
      <c r="BE31" s="104"/>
      <c r="BF31" s="103"/>
      <c r="BG31" s="92"/>
      <c r="BH31" s="104"/>
      <c r="BI31" s="103"/>
      <c r="BJ31" s="92"/>
      <c r="BK31" s="104"/>
      <c r="BL31" s="103"/>
      <c r="BM31" s="92"/>
      <c r="BN31" s="104"/>
      <c r="BO31" s="103"/>
      <c r="BP31" s="92"/>
      <c r="BQ31" s="104"/>
      <c r="BR31" s="103"/>
      <c r="BS31" s="92"/>
      <c r="BT31" s="104"/>
      <c r="BU31" s="103"/>
      <c r="BV31" s="92"/>
      <c r="BW31" s="104"/>
      <c r="BX31" s="103"/>
      <c r="BY31" s="92"/>
      <c r="BZ31" s="104"/>
      <c r="CA31" s="103"/>
      <c r="CB31" s="92"/>
      <c r="CC31" s="104"/>
      <c r="CD31" s="103"/>
      <c r="CE31" s="92"/>
      <c r="CF31" s="104"/>
      <c r="CG31" s="103"/>
      <c r="CH31" s="92"/>
      <c r="CI31" s="104"/>
      <c r="CJ31" s="103"/>
      <c r="CK31" s="92"/>
      <c r="CL31" s="104"/>
      <c r="CM31" s="103"/>
      <c r="CN31" s="92"/>
      <c r="CO31" s="104"/>
      <c r="CP31" s="1"/>
    </row>
    <row r="32" ht="13.5" customHeight="1">
      <c r="A32" s="1"/>
      <c r="B32" s="82" t="s">
        <v>102</v>
      </c>
      <c r="C32" s="105" t="s">
        <v>118</v>
      </c>
      <c r="D32" s="94">
        <f>D25+D28</f>
        <v>4862540</v>
      </c>
      <c r="E32" s="35" t="s">
        <v>99</v>
      </c>
      <c r="F32" s="86">
        <f>D32/D$8</f>
        <v>0.3973880887</v>
      </c>
      <c r="G32" s="94">
        <f>G25+G28</f>
        <v>5074208</v>
      </c>
      <c r="H32" s="35" t="s">
        <v>99</v>
      </c>
      <c r="I32" s="86">
        <f>G32/G$8</f>
        <v>0.3956497466</v>
      </c>
      <c r="J32" s="94">
        <f>J25+J28</f>
        <v>5245949</v>
      </c>
      <c r="K32" s="35" t="s">
        <v>99</v>
      </c>
      <c r="L32" s="86">
        <f>J32/J$8</f>
        <v>0.3882580765</v>
      </c>
      <c r="M32" s="94">
        <f>M25+M28</f>
        <v>5423629</v>
      </c>
      <c r="N32" s="35" t="s">
        <v>99</v>
      </c>
      <c r="O32" s="86">
        <f>M32/M$8</f>
        <v>0.3822014023</v>
      </c>
      <c r="P32" s="94">
        <f>P25+P28</f>
        <v>5607447</v>
      </c>
      <c r="Q32" s="35" t="s">
        <v>99</v>
      </c>
      <c r="R32" s="86">
        <f>P32/P$8</f>
        <v>0.3771106628</v>
      </c>
      <c r="S32" s="94">
        <f>S25+S28</f>
        <v>5801717</v>
      </c>
      <c r="T32" s="35" t="s">
        <v>99</v>
      </c>
      <c r="U32" s="86">
        <f>S32/S$8</f>
        <v>0.3749695912</v>
      </c>
      <c r="V32" s="94">
        <f>V25+V28</f>
        <v>5757663</v>
      </c>
      <c r="W32" s="35" t="s">
        <v>99</v>
      </c>
      <c r="X32" s="86">
        <f>V32/V$8</f>
        <v>0.3564785314</v>
      </c>
      <c r="Y32" s="94">
        <f>Y25+Y28</f>
        <v>5965506</v>
      </c>
      <c r="Z32" s="35" t="s">
        <v>99</v>
      </c>
      <c r="AA32" s="86">
        <f>Y32/Y$8</f>
        <v>0.3528528081</v>
      </c>
      <c r="AB32" s="94">
        <f>AB25+AB28</f>
        <v>6180475</v>
      </c>
      <c r="AC32" s="35" t="s">
        <v>99</v>
      </c>
      <c r="AD32" s="86">
        <f>AB32/AB$8</f>
        <v>0.3496930519</v>
      </c>
      <c r="AE32" s="94">
        <f>AE25+AE28</f>
        <v>6402806</v>
      </c>
      <c r="AF32" s="35" t="s">
        <v>99</v>
      </c>
      <c r="AG32" s="86">
        <f>AE32/AE$8</f>
        <v>0.3472708339</v>
      </c>
      <c r="AH32" s="94">
        <f>AH25+AH28</f>
        <v>6632744</v>
      </c>
      <c r="AI32" s="35" t="s">
        <v>99</v>
      </c>
      <c r="AJ32" s="86">
        <f>AH32/AH$8</f>
        <v>0.3424323808</v>
      </c>
      <c r="AK32" s="94">
        <f>AK25+AK28</f>
        <v>6626538</v>
      </c>
      <c r="AL32" s="35" t="s">
        <v>99</v>
      </c>
      <c r="AM32" s="86">
        <f>AK32/AK$8</f>
        <v>0.3264706491</v>
      </c>
      <c r="AN32" s="94">
        <f>AN25+AN28</f>
        <v>6872449</v>
      </c>
      <c r="AO32" s="35" t="s">
        <v>99</v>
      </c>
      <c r="AP32" s="86">
        <f>AN32/AN$8</f>
        <v>0.3248847236</v>
      </c>
      <c r="AQ32" s="94">
        <f>AQ25+AQ28</f>
        <v>7126746</v>
      </c>
      <c r="AR32" s="35" t="s">
        <v>99</v>
      </c>
      <c r="AS32" s="86">
        <f>AQ32/AQ$8</f>
        <v>0.3227473677</v>
      </c>
      <c r="AT32" s="94">
        <f>AT25+AT28</f>
        <v>7389704</v>
      </c>
      <c r="AU32" s="35" t="s">
        <v>99</v>
      </c>
      <c r="AV32" s="86">
        <f>AT32/AT$8</f>
        <v>0.3199283055</v>
      </c>
      <c r="AW32" s="94">
        <f>AW25+AW28</f>
        <v>7661610</v>
      </c>
      <c r="AX32" s="35" t="s">
        <v>99</v>
      </c>
      <c r="AY32" s="86">
        <f>AW32/AW$8</f>
        <v>0.3176652777</v>
      </c>
      <c r="AZ32" s="94">
        <f>AZ25+AZ28</f>
        <v>7942759</v>
      </c>
      <c r="BA32" s="35" t="s">
        <v>99</v>
      </c>
      <c r="BB32" s="86">
        <f>AZ32/AZ$8</f>
        <v>0.3148951969</v>
      </c>
      <c r="BC32" s="94">
        <f>BC25+BC28</f>
        <v>8233454</v>
      </c>
      <c r="BD32" s="35" t="s">
        <v>99</v>
      </c>
      <c r="BE32" s="86">
        <f>BC32/BC$8</f>
        <v>0.3118201064</v>
      </c>
      <c r="BF32" s="94">
        <f>BF25+BF28</f>
        <v>8534010</v>
      </c>
      <c r="BG32" s="35" t="s">
        <v>99</v>
      </c>
      <c r="BH32" s="86">
        <f>BF32/BF$8</f>
        <v>0.3082817665</v>
      </c>
      <c r="BI32" s="94">
        <f>BI25+BI28</f>
        <v>8844752</v>
      </c>
      <c r="BJ32" s="35" t="s">
        <v>99</v>
      </c>
      <c r="BK32" s="86">
        <f>BI32/BI$8</f>
        <v>0.3054970986</v>
      </c>
      <c r="BL32" s="94">
        <f>BL25+BL28</f>
        <v>9166014</v>
      </c>
      <c r="BM32" s="35" t="s">
        <v>99</v>
      </c>
      <c r="BN32" s="86">
        <f>BL32/BL$8</f>
        <v>0.302408908</v>
      </c>
      <c r="BO32" s="94">
        <f>BO25+BO28</f>
        <v>9498142</v>
      </c>
      <c r="BP32" s="35" t="s">
        <v>99</v>
      </c>
      <c r="BQ32" s="86">
        <f>BO32/BO$8</f>
        <v>0.2984162622</v>
      </c>
      <c r="BR32" s="94">
        <f>BR25+BR28</f>
        <v>9841492</v>
      </c>
      <c r="BS32" s="35" t="s">
        <v>99</v>
      </c>
      <c r="BT32" s="86">
        <f>BR32/BR$8</f>
        <v>0.2957979021</v>
      </c>
      <c r="BU32" s="94">
        <f>BU25+BU28</f>
        <v>10196432</v>
      </c>
      <c r="BV32" s="35" t="s">
        <v>99</v>
      </c>
      <c r="BW32" s="86">
        <f>BU32/BU$8</f>
        <v>0.292345662</v>
      </c>
      <c r="BX32" s="94">
        <f>BX25+BX28</f>
        <v>10563343</v>
      </c>
      <c r="BY32" s="35" t="s">
        <v>99</v>
      </c>
      <c r="BZ32" s="86">
        <f>BX32/BX$8</f>
        <v>0.2888250509</v>
      </c>
      <c r="CA32" s="94">
        <f>CA25+CA28</f>
        <v>10942617</v>
      </c>
      <c r="CB32" s="35" t="s">
        <v>99</v>
      </c>
      <c r="CC32" s="86">
        <f>CA32/CA$8</f>
        <v>0.2859394549</v>
      </c>
      <c r="CD32" s="94">
        <f>CD25+CD28</f>
        <v>11334658</v>
      </c>
      <c r="CE32" s="35" t="s">
        <v>99</v>
      </c>
      <c r="CF32" s="86">
        <f>CD32/CD$8</f>
        <v>0.2830197508</v>
      </c>
      <c r="CG32" s="94">
        <f>CG25+CG28</f>
        <v>11739884</v>
      </c>
      <c r="CH32" s="35" t="s">
        <v>99</v>
      </c>
      <c r="CI32" s="86">
        <f>CG32/CG$8</f>
        <v>0.2795643135</v>
      </c>
      <c r="CJ32" s="94">
        <f>CJ25+CJ28</f>
        <v>12158727</v>
      </c>
      <c r="CK32" s="35" t="s">
        <v>99</v>
      </c>
      <c r="CL32" s="86">
        <f>CJ32/CJ$8</f>
        <v>0.2766459312</v>
      </c>
      <c r="CM32" s="94">
        <f>CM25+CM28</f>
        <v>12591631</v>
      </c>
      <c r="CN32" s="35" t="s">
        <v>99</v>
      </c>
      <c r="CO32" s="86">
        <f>CM32/CM$8</f>
        <v>0.2733775008</v>
      </c>
      <c r="CP32" s="1"/>
    </row>
    <row r="33" ht="9.75" customHeight="1">
      <c r="A33" s="1"/>
      <c r="B33" s="82"/>
      <c r="C33" s="105"/>
      <c r="D33" s="94"/>
      <c r="E33" s="35"/>
      <c r="F33" s="86"/>
      <c r="G33" s="94"/>
      <c r="H33" s="87"/>
      <c r="I33" s="86"/>
      <c r="J33" s="94"/>
      <c r="K33" s="87"/>
      <c r="L33" s="86"/>
      <c r="M33" s="94"/>
      <c r="N33" s="87"/>
      <c r="O33" s="86"/>
      <c r="P33" s="94"/>
      <c r="Q33" s="87"/>
      <c r="R33" s="86"/>
      <c r="S33" s="94"/>
      <c r="T33" s="87"/>
      <c r="U33" s="86"/>
      <c r="V33" s="94"/>
      <c r="W33" s="87"/>
      <c r="X33" s="86"/>
      <c r="Y33" s="94"/>
      <c r="Z33" s="87"/>
      <c r="AA33" s="86"/>
      <c r="AB33" s="94"/>
      <c r="AC33" s="87"/>
      <c r="AD33" s="86"/>
      <c r="AE33" s="94"/>
      <c r="AF33" s="87"/>
      <c r="AG33" s="86"/>
      <c r="AH33" s="94"/>
      <c r="AI33" s="87"/>
      <c r="AJ33" s="86"/>
      <c r="AK33" s="94"/>
      <c r="AL33" s="87"/>
      <c r="AM33" s="86"/>
      <c r="AN33" s="94"/>
      <c r="AO33" s="87"/>
      <c r="AP33" s="86"/>
      <c r="AQ33" s="94"/>
      <c r="AR33" s="87"/>
      <c r="AS33" s="86"/>
      <c r="AT33" s="94"/>
      <c r="AU33" s="87"/>
      <c r="AV33" s="86"/>
      <c r="AW33" s="94"/>
      <c r="AX33" s="87"/>
      <c r="AY33" s="86"/>
      <c r="AZ33" s="94"/>
      <c r="BA33" s="87"/>
      <c r="BB33" s="86"/>
      <c r="BC33" s="94"/>
      <c r="BD33" s="87"/>
      <c r="BE33" s="86"/>
      <c r="BF33" s="94"/>
      <c r="BG33" s="87"/>
      <c r="BH33" s="86"/>
      <c r="BI33" s="94"/>
      <c r="BJ33" s="87"/>
      <c r="BK33" s="86"/>
      <c r="BL33" s="94"/>
      <c r="BM33" s="87"/>
      <c r="BN33" s="86"/>
      <c r="BO33" s="94"/>
      <c r="BP33" s="87"/>
      <c r="BQ33" s="86"/>
      <c r="BR33" s="94"/>
      <c r="BS33" s="87"/>
      <c r="BT33" s="86"/>
      <c r="BU33" s="94"/>
      <c r="BV33" s="87"/>
      <c r="BW33" s="86"/>
      <c r="BX33" s="94"/>
      <c r="BY33" s="87"/>
      <c r="BZ33" s="86"/>
      <c r="CA33" s="94"/>
      <c r="CB33" s="87"/>
      <c r="CC33" s="86"/>
      <c r="CD33" s="94"/>
      <c r="CE33" s="87"/>
      <c r="CF33" s="86"/>
      <c r="CG33" s="94"/>
      <c r="CH33" s="87"/>
      <c r="CI33" s="86"/>
      <c r="CJ33" s="94"/>
      <c r="CK33" s="87"/>
      <c r="CL33" s="86"/>
      <c r="CM33" s="94"/>
      <c r="CN33" s="87"/>
      <c r="CO33" s="86"/>
      <c r="CP33" s="1"/>
    </row>
    <row r="34" ht="13.5" customHeight="1">
      <c r="A34" s="2"/>
      <c r="B34" s="82" t="s">
        <v>108</v>
      </c>
      <c r="C34" s="105" t="s">
        <v>119</v>
      </c>
      <c r="D34" s="106">
        <v>922198.0</v>
      </c>
      <c r="E34" s="35" t="s">
        <v>99</v>
      </c>
      <c r="F34" s="86">
        <f>D34/D$8</f>
        <v>0.07536606395</v>
      </c>
      <c r="G34" s="106">
        <v>685931.0</v>
      </c>
      <c r="H34" s="35" t="s">
        <v>99</v>
      </c>
      <c r="I34" s="86">
        <f>G34/G$8</f>
        <v>0.05348389864</v>
      </c>
      <c r="J34" s="107"/>
      <c r="K34" s="108"/>
      <c r="L34" s="86">
        <f>J34/J$8</f>
        <v>0</v>
      </c>
      <c r="M34" s="107"/>
      <c r="N34" s="108"/>
      <c r="O34" s="86">
        <f>M34/M$8</f>
        <v>0</v>
      </c>
      <c r="P34" s="107"/>
      <c r="Q34" s="108"/>
      <c r="R34" s="86">
        <f>P34/P$8</f>
        <v>0</v>
      </c>
      <c r="S34" s="107"/>
      <c r="T34" s="108"/>
      <c r="U34" s="86">
        <f>S34/S$8</f>
        <v>0</v>
      </c>
      <c r="V34" s="107"/>
      <c r="W34" s="108"/>
      <c r="X34" s="86">
        <f>V34/V$8</f>
        <v>0</v>
      </c>
      <c r="Y34" s="107"/>
      <c r="Z34" s="108"/>
      <c r="AA34" s="86">
        <f>Y34/Y$8</f>
        <v>0</v>
      </c>
      <c r="AB34" s="107"/>
      <c r="AC34" s="108"/>
      <c r="AD34" s="86">
        <f>AB34/AB$8</f>
        <v>0</v>
      </c>
      <c r="AE34" s="107"/>
      <c r="AF34" s="108"/>
      <c r="AG34" s="86">
        <f>AE34/AE$8</f>
        <v>0</v>
      </c>
      <c r="AH34" s="107"/>
      <c r="AI34" s="108"/>
      <c r="AJ34" s="86">
        <f>AH34/AH$8</f>
        <v>0</v>
      </c>
      <c r="AK34" s="107"/>
      <c r="AL34" s="108"/>
      <c r="AM34" s="86">
        <f>AK34/AK$8</f>
        <v>0</v>
      </c>
      <c r="AN34" s="107"/>
      <c r="AO34" s="108"/>
      <c r="AP34" s="86">
        <f>AN34/AN$8</f>
        <v>0</v>
      </c>
      <c r="AQ34" s="107"/>
      <c r="AR34" s="108"/>
      <c r="AS34" s="86">
        <f>AQ34/AQ$8</f>
        <v>0</v>
      </c>
      <c r="AT34" s="107"/>
      <c r="AU34" s="108"/>
      <c r="AV34" s="86">
        <f>AT34/AT$8</f>
        <v>0</v>
      </c>
      <c r="AW34" s="107"/>
      <c r="AX34" s="108"/>
      <c r="AY34" s="86">
        <f>AW34/AW$8</f>
        <v>0</v>
      </c>
      <c r="AZ34" s="107"/>
      <c r="BA34" s="108"/>
      <c r="BB34" s="86">
        <f>AZ34/AZ$8</f>
        <v>0</v>
      </c>
      <c r="BC34" s="107"/>
      <c r="BD34" s="108"/>
      <c r="BE34" s="86">
        <f>BC34/BC$8</f>
        <v>0</v>
      </c>
      <c r="BF34" s="107"/>
      <c r="BG34" s="108"/>
      <c r="BH34" s="86">
        <f>BF34/BF$8</f>
        <v>0</v>
      </c>
      <c r="BI34" s="107"/>
      <c r="BJ34" s="108"/>
      <c r="BK34" s="86">
        <f>BI34/BI$8</f>
        <v>0</v>
      </c>
      <c r="BL34" s="107"/>
      <c r="BM34" s="108"/>
      <c r="BN34" s="86">
        <f>BL34/BL$8</f>
        <v>0</v>
      </c>
      <c r="BO34" s="107"/>
      <c r="BP34" s="108"/>
      <c r="BQ34" s="86">
        <f>BO34/BO$8</f>
        <v>0</v>
      </c>
      <c r="BR34" s="107"/>
      <c r="BS34" s="108"/>
      <c r="BT34" s="86">
        <f>BR34/BR$8</f>
        <v>0</v>
      </c>
      <c r="BU34" s="107"/>
      <c r="BV34" s="108"/>
      <c r="BW34" s="86">
        <f>BU34/BU$8</f>
        <v>0</v>
      </c>
      <c r="BX34" s="107"/>
      <c r="BY34" s="108"/>
      <c r="BZ34" s="86">
        <f>BX34/BX$8</f>
        <v>0</v>
      </c>
      <c r="CA34" s="107"/>
      <c r="CB34" s="108"/>
      <c r="CC34" s="86">
        <f>CA34/CA$8</f>
        <v>0</v>
      </c>
      <c r="CD34" s="107"/>
      <c r="CE34" s="108"/>
      <c r="CF34" s="86">
        <f>CD34/CD$8</f>
        <v>0</v>
      </c>
      <c r="CG34" s="107"/>
      <c r="CH34" s="108"/>
      <c r="CI34" s="86">
        <f>CG34/CG$8</f>
        <v>0</v>
      </c>
      <c r="CJ34" s="107"/>
      <c r="CK34" s="108"/>
      <c r="CL34" s="86">
        <f>CJ34/CJ$8</f>
        <v>0</v>
      </c>
      <c r="CM34" s="107"/>
      <c r="CN34" s="108"/>
      <c r="CO34" s="86">
        <f>CM34/CM$8</f>
        <v>0</v>
      </c>
      <c r="CP34" s="94"/>
      <c r="CQ34" s="2"/>
    </row>
    <row r="35" ht="9.75" customHeight="1">
      <c r="A35" s="1"/>
      <c r="B35" s="82"/>
      <c r="C35" s="105"/>
      <c r="D35" s="94"/>
      <c r="E35" s="35"/>
      <c r="F35" s="86"/>
      <c r="G35" s="94"/>
      <c r="H35" s="87"/>
      <c r="I35" s="86"/>
      <c r="J35" s="94"/>
      <c r="K35" s="87"/>
      <c r="L35" s="86"/>
      <c r="M35" s="94"/>
      <c r="N35" s="87"/>
      <c r="O35" s="86"/>
      <c r="P35" s="94"/>
      <c r="Q35" s="87"/>
      <c r="R35" s="86"/>
      <c r="S35" s="94"/>
      <c r="T35" s="87"/>
      <c r="U35" s="86"/>
      <c r="V35" s="94"/>
      <c r="W35" s="87"/>
      <c r="X35" s="86"/>
      <c r="Y35" s="94"/>
      <c r="Z35" s="87"/>
      <c r="AA35" s="86"/>
      <c r="AB35" s="94"/>
      <c r="AC35" s="87"/>
      <c r="AD35" s="86"/>
      <c r="AE35" s="94"/>
      <c r="AF35" s="87"/>
      <c r="AG35" s="86"/>
      <c r="AH35" s="94"/>
      <c r="AI35" s="87"/>
      <c r="AJ35" s="86"/>
      <c r="AK35" s="94"/>
      <c r="AL35" s="87"/>
      <c r="AM35" s="86"/>
      <c r="AN35" s="94"/>
      <c r="AO35" s="87"/>
      <c r="AP35" s="86"/>
      <c r="AQ35" s="94"/>
      <c r="AR35" s="87"/>
      <c r="AS35" s="86"/>
      <c r="AT35" s="94"/>
      <c r="AU35" s="87"/>
      <c r="AV35" s="86"/>
      <c r="AW35" s="94"/>
      <c r="AX35" s="87"/>
      <c r="AY35" s="86"/>
      <c r="AZ35" s="94"/>
      <c r="BA35" s="87"/>
      <c r="BB35" s="86"/>
      <c r="BC35" s="94"/>
      <c r="BD35" s="87"/>
      <c r="BE35" s="86"/>
      <c r="BF35" s="94"/>
      <c r="BG35" s="87"/>
      <c r="BH35" s="86"/>
      <c r="BI35" s="94"/>
      <c r="BJ35" s="87"/>
      <c r="BK35" s="86"/>
      <c r="BL35" s="94"/>
      <c r="BM35" s="87"/>
      <c r="BN35" s="86"/>
      <c r="BO35" s="94"/>
      <c r="BP35" s="87"/>
      <c r="BQ35" s="86"/>
      <c r="BR35" s="94"/>
      <c r="BS35" s="87"/>
      <c r="BT35" s="86"/>
      <c r="BU35" s="94"/>
      <c r="BV35" s="87"/>
      <c r="BW35" s="86"/>
      <c r="BX35" s="94"/>
      <c r="BY35" s="87"/>
      <c r="BZ35" s="86"/>
      <c r="CA35" s="94"/>
      <c r="CB35" s="87"/>
      <c r="CC35" s="86"/>
      <c r="CD35" s="94"/>
      <c r="CE35" s="87"/>
      <c r="CF35" s="86"/>
      <c r="CG35" s="94"/>
      <c r="CH35" s="87"/>
      <c r="CI35" s="86"/>
      <c r="CJ35" s="94"/>
      <c r="CK35" s="87"/>
      <c r="CL35" s="86"/>
      <c r="CM35" s="94"/>
      <c r="CN35" s="87"/>
      <c r="CO35" s="86"/>
      <c r="CP35" s="1"/>
    </row>
    <row r="36" ht="13.5" customHeight="1">
      <c r="A36" s="2"/>
      <c r="B36" s="82" t="s">
        <v>120</v>
      </c>
      <c r="C36" s="105" t="s">
        <v>121</v>
      </c>
      <c r="D36" s="106">
        <v>98428.51</v>
      </c>
      <c r="E36" s="35" t="s">
        <v>99</v>
      </c>
      <c r="F36" s="86">
        <f>D36/D$8</f>
        <v>0.008044009398</v>
      </c>
      <c r="G36" s="106">
        <v>359527.666666667</v>
      </c>
      <c r="H36" s="35" t="s">
        <v>99</v>
      </c>
      <c r="I36" s="86">
        <f>G36/G$8</f>
        <v>0.02803334633</v>
      </c>
      <c r="J36" s="106">
        <v>518717.666666667</v>
      </c>
      <c r="K36" s="35" t="s">
        <v>99</v>
      </c>
      <c r="L36" s="86">
        <f>J36/J$8</f>
        <v>0.03839082757</v>
      </c>
      <c r="M36" s="106">
        <v>574037.666666666</v>
      </c>
      <c r="N36" s="35" t="s">
        <v>99</v>
      </c>
      <c r="O36" s="86">
        <f>M36/M$8</f>
        <v>0.04045225092</v>
      </c>
      <c r="P36" s="106">
        <v>623219.666666667</v>
      </c>
      <c r="Q36" s="35" t="s">
        <v>99</v>
      </c>
      <c r="R36" s="86">
        <f>P36/P$8</f>
        <v>0.04191261755</v>
      </c>
      <c r="S36" s="106">
        <v>609949.666666667</v>
      </c>
      <c r="T36" s="35" t="s">
        <v>99</v>
      </c>
      <c r="U36" s="86">
        <f>S36/S$8</f>
        <v>0.03942153283</v>
      </c>
      <c r="V36" s="106">
        <v>887003.666666666</v>
      </c>
      <c r="W36" s="35" t="s">
        <v>99</v>
      </c>
      <c r="X36" s="86">
        <f>V36/V$8</f>
        <v>0.05491772694</v>
      </c>
      <c r="Y36" s="106">
        <v>903827.333333334</v>
      </c>
      <c r="Z36" s="35" t="s">
        <v>99</v>
      </c>
      <c r="AA36" s="86">
        <f>Y36/Y$8</f>
        <v>0.05346034563</v>
      </c>
      <c r="AB36" s="106">
        <v>921858.333333333</v>
      </c>
      <c r="AC36" s="35" t="s">
        <v>99</v>
      </c>
      <c r="AD36" s="86">
        <f>AB36/AB$8</f>
        <v>0.05215900947</v>
      </c>
      <c r="AE36" s="106">
        <v>940860.666666666</v>
      </c>
      <c r="AF36" s="35" t="s">
        <v>99</v>
      </c>
      <c r="AG36" s="86">
        <f>AE36/AE$8</f>
        <v>0.05102973107</v>
      </c>
      <c r="AH36" s="106">
        <v>995922.666666667</v>
      </c>
      <c r="AI36" s="35" t="s">
        <v>99</v>
      </c>
      <c r="AJ36" s="86">
        <f>AH36/AH$8</f>
        <v>0.05141705602</v>
      </c>
      <c r="AK36" s="106">
        <v>1295462.0</v>
      </c>
      <c r="AL36" s="35" t="s">
        <v>99</v>
      </c>
      <c r="AM36" s="86">
        <f>AK36/AK$8</f>
        <v>0.06382372213</v>
      </c>
      <c r="AN36" s="106">
        <v>1282551.0</v>
      </c>
      <c r="AO36" s="35" t="s">
        <v>99</v>
      </c>
      <c r="AP36" s="86">
        <f>AN36/AN$8</f>
        <v>0.06063067577</v>
      </c>
      <c r="AQ36" s="106">
        <v>1261254.0</v>
      </c>
      <c r="AR36" s="35" t="s">
        <v>99</v>
      </c>
      <c r="AS36" s="86">
        <f>AQ36/AQ$8</f>
        <v>0.05711813056</v>
      </c>
      <c r="AT36" s="106">
        <v>1291629.333333332</v>
      </c>
      <c r="AU36" s="35" t="s">
        <v>99</v>
      </c>
      <c r="AV36" s="86">
        <f>AT36/AT$8</f>
        <v>0.05591953127</v>
      </c>
      <c r="AW36" s="106">
        <v>1304723.333333334</v>
      </c>
      <c r="AX36" s="35" t="s">
        <v>99</v>
      </c>
      <c r="AY36" s="86">
        <f>AW36/AW$8</f>
        <v>0.05409637139</v>
      </c>
      <c r="AZ36" s="106">
        <v>1316907.666666666</v>
      </c>
      <c r="BA36" s="35" t="s">
        <v>99</v>
      </c>
      <c r="BB36" s="86">
        <f>AZ36/AZ$8</f>
        <v>0.05220955326</v>
      </c>
      <c r="BC36" s="106">
        <v>1371546.0000000019</v>
      </c>
      <c r="BD36" s="35" t="s">
        <v>99</v>
      </c>
      <c r="BE36" s="86">
        <f>BC36/BC$8</f>
        <v>0.05194364597</v>
      </c>
      <c r="BF36" s="106">
        <v>1432990.0</v>
      </c>
      <c r="BG36" s="35" t="s">
        <v>99</v>
      </c>
      <c r="BH36" s="86">
        <f>BF36/BF$8</f>
        <v>0.05176519462</v>
      </c>
      <c r="BI36" s="106">
        <v>1467581.333333332</v>
      </c>
      <c r="BJ36" s="35" t="s">
        <v>99</v>
      </c>
      <c r="BK36" s="86">
        <f>BI36/BI$8</f>
        <v>0.05069015382</v>
      </c>
      <c r="BL36" s="106">
        <v>1491652.666666668</v>
      </c>
      <c r="BM36" s="35" t="s">
        <v>99</v>
      </c>
      <c r="BN36" s="86">
        <f>BL36/BL$8</f>
        <v>0.04921321896</v>
      </c>
      <c r="BO36" s="106">
        <v>1565191.333333334</v>
      </c>
      <c r="BP36" s="35" t="s">
        <v>99</v>
      </c>
      <c r="BQ36" s="86">
        <f>BO36/BO$8</f>
        <v>0.04917578062</v>
      </c>
      <c r="BR36" s="106">
        <v>1575508.0</v>
      </c>
      <c r="BS36" s="35" t="s">
        <v>99</v>
      </c>
      <c r="BT36" s="86">
        <f>BR36/BR$8</f>
        <v>0.04735379159</v>
      </c>
      <c r="BU36" s="106">
        <v>1626234.666666668</v>
      </c>
      <c r="BV36" s="35" t="s">
        <v>99</v>
      </c>
      <c r="BW36" s="86">
        <f>BU36/BU$8</f>
        <v>0.04662637384</v>
      </c>
      <c r="BX36" s="106">
        <v>1664990.333333334</v>
      </c>
      <c r="BY36" s="35" t="s">
        <v>99</v>
      </c>
      <c r="BZ36" s="86">
        <f>BX36/BX$8</f>
        <v>0.04552450089</v>
      </c>
      <c r="CA36" s="106">
        <v>1691383.0</v>
      </c>
      <c r="CB36" s="35" t="s">
        <v>99</v>
      </c>
      <c r="CC36" s="86">
        <f>CA36/CA$8</f>
        <v>0.04419720923</v>
      </c>
      <c r="CD36" s="106">
        <v>1713342.0</v>
      </c>
      <c r="CE36" s="35" t="s">
        <v>99</v>
      </c>
      <c r="CF36" s="86">
        <f>CD36/CD$8</f>
        <v>0.0427811431</v>
      </c>
      <c r="CG36" s="106">
        <v>1774116.0</v>
      </c>
      <c r="CH36" s="35" t="s">
        <v>99</v>
      </c>
      <c r="CI36" s="86">
        <f>CG36/CG$8</f>
        <v>0.04224739543</v>
      </c>
      <c r="CJ36" s="106">
        <v>1769273.0</v>
      </c>
      <c r="CK36" s="35" t="s">
        <v>99</v>
      </c>
      <c r="CL36" s="86">
        <f>CJ36/CJ$8</f>
        <v>0.04025603804</v>
      </c>
      <c r="CM36" s="106">
        <v>1794035.666666668</v>
      </c>
      <c r="CN36" s="35" t="s">
        <v>99</v>
      </c>
      <c r="CO36" s="86">
        <f>CM36/CM$8</f>
        <v>0.03895039387</v>
      </c>
      <c r="CP36" s="94"/>
      <c r="CQ36" s="2"/>
    </row>
    <row r="37" ht="9.75" customHeight="1">
      <c r="A37" s="2"/>
      <c r="B37" s="88"/>
      <c r="C37" s="102"/>
      <c r="D37" s="75"/>
      <c r="E37" s="37"/>
      <c r="F37" s="104"/>
      <c r="G37" s="75"/>
      <c r="H37" s="37"/>
      <c r="I37" s="104"/>
      <c r="J37" s="75"/>
      <c r="K37" s="37"/>
      <c r="L37" s="104"/>
      <c r="M37" s="75"/>
      <c r="N37" s="37"/>
      <c r="O37" s="104"/>
      <c r="P37" s="75"/>
      <c r="Q37" s="37"/>
      <c r="R37" s="104"/>
      <c r="S37" s="75"/>
      <c r="T37" s="37"/>
      <c r="U37" s="104"/>
      <c r="V37" s="75"/>
      <c r="W37" s="37"/>
      <c r="X37" s="104"/>
      <c r="Y37" s="75"/>
      <c r="Z37" s="37"/>
      <c r="AA37" s="104"/>
      <c r="AB37" s="75"/>
      <c r="AC37" s="37"/>
      <c r="AD37" s="104"/>
      <c r="AE37" s="75"/>
      <c r="AF37" s="37"/>
      <c r="AG37" s="104"/>
      <c r="AH37" s="75"/>
      <c r="AI37" s="37"/>
      <c r="AJ37" s="104"/>
      <c r="AK37" s="75"/>
      <c r="AL37" s="37"/>
      <c r="AM37" s="104"/>
      <c r="AN37" s="75"/>
      <c r="AO37" s="37"/>
      <c r="AP37" s="104"/>
      <c r="AQ37" s="75"/>
      <c r="AR37" s="37"/>
      <c r="AS37" s="104"/>
      <c r="AT37" s="75"/>
      <c r="AU37" s="37"/>
      <c r="AV37" s="104"/>
      <c r="AW37" s="75"/>
      <c r="AX37" s="37"/>
      <c r="AY37" s="104"/>
      <c r="AZ37" s="75"/>
      <c r="BA37" s="37"/>
      <c r="BB37" s="104"/>
      <c r="BC37" s="75"/>
      <c r="BD37" s="37"/>
      <c r="BE37" s="104"/>
      <c r="BF37" s="75"/>
      <c r="BG37" s="37"/>
      <c r="BH37" s="104"/>
      <c r="BI37" s="75"/>
      <c r="BJ37" s="37"/>
      <c r="BK37" s="104"/>
      <c r="BL37" s="75"/>
      <c r="BM37" s="37"/>
      <c r="BN37" s="104"/>
      <c r="BO37" s="75"/>
      <c r="BP37" s="37"/>
      <c r="BQ37" s="104"/>
      <c r="BR37" s="75"/>
      <c r="BS37" s="37"/>
      <c r="BT37" s="104"/>
      <c r="BU37" s="75"/>
      <c r="BV37" s="37"/>
      <c r="BW37" s="104"/>
      <c r="BX37" s="75"/>
      <c r="BY37" s="37"/>
      <c r="BZ37" s="104"/>
      <c r="CA37" s="75"/>
      <c r="CB37" s="37"/>
      <c r="CC37" s="104"/>
      <c r="CD37" s="75"/>
      <c r="CE37" s="37"/>
      <c r="CF37" s="104"/>
      <c r="CG37" s="75"/>
      <c r="CH37" s="37"/>
      <c r="CI37" s="104"/>
      <c r="CJ37" s="75"/>
      <c r="CK37" s="37"/>
      <c r="CL37" s="104"/>
      <c r="CM37" s="75"/>
      <c r="CN37" s="37"/>
      <c r="CO37" s="104"/>
      <c r="CP37" s="2"/>
      <c r="CQ37" s="2"/>
    </row>
    <row r="38" ht="13.5" customHeight="1">
      <c r="A38" s="2"/>
      <c r="B38" s="97" t="s">
        <v>122</v>
      </c>
      <c r="C38" s="93" t="s">
        <v>123</v>
      </c>
      <c r="D38" s="94">
        <f>SUM(D32:D37)</f>
        <v>5883166.51</v>
      </c>
      <c r="E38" s="35" t="s">
        <v>99</v>
      </c>
      <c r="F38" s="86">
        <f>D38/D$8</f>
        <v>0.480798162</v>
      </c>
      <c r="G38" s="94">
        <f>SUM(G32:G37)</f>
        <v>6119666.667</v>
      </c>
      <c r="H38" s="87">
        <f>(G38-D38)/D38</f>
        <v>0.04019946678</v>
      </c>
      <c r="I38" s="86">
        <f>G38/G$8</f>
        <v>0.4771669916</v>
      </c>
      <c r="J38" s="94">
        <f>SUM(J32:J37)</f>
        <v>5764666.667</v>
      </c>
      <c r="K38" s="87">
        <f>(J38-G38)/G38</f>
        <v>-0.05800969552</v>
      </c>
      <c r="L38" s="86">
        <f>J38/J$8</f>
        <v>0.426648904</v>
      </c>
      <c r="M38" s="94">
        <f>SUM(M32:M37)</f>
        <v>5997666.667</v>
      </c>
      <c r="N38" s="87">
        <f>(M38-J38)/J38</f>
        <v>0.0404186423</v>
      </c>
      <c r="O38" s="86">
        <f>M38/M$8</f>
        <v>0.4226536533</v>
      </c>
      <c r="P38" s="94">
        <f>SUM(P32:P37)</f>
        <v>6230666.667</v>
      </c>
      <c r="Q38" s="87">
        <f>(P38-M38)/M38</f>
        <v>0.03884844106</v>
      </c>
      <c r="R38" s="86">
        <f>P38/P$8</f>
        <v>0.4190232803</v>
      </c>
      <c r="S38" s="94">
        <f>SUM(S32:S37)</f>
        <v>6411666.667</v>
      </c>
      <c r="T38" s="87">
        <f>(S38-P38)/P38</f>
        <v>0.0290498609</v>
      </c>
      <c r="U38" s="86">
        <f>S38/S$8</f>
        <v>0.414391124</v>
      </c>
      <c r="V38" s="94">
        <f>SUM(V32:V37)</f>
        <v>6644666.667</v>
      </c>
      <c r="W38" s="87">
        <f>(V38-S38)/S38</f>
        <v>0.0363400052</v>
      </c>
      <c r="X38" s="86">
        <f>V38/V$8</f>
        <v>0.4113962583</v>
      </c>
      <c r="Y38" s="94">
        <f>SUM(Y32:Y37)</f>
        <v>6869333.333</v>
      </c>
      <c r="Z38" s="87">
        <f>(Y38-V38)/V38</f>
        <v>0.03381157821</v>
      </c>
      <c r="AA38" s="86">
        <f>Y38/Y$8</f>
        <v>0.4063131537</v>
      </c>
      <c r="AB38" s="94">
        <f>SUM(AB32:AB37)</f>
        <v>7102333.333</v>
      </c>
      <c r="AC38" s="87">
        <f>(AB38-Y38)/Y38</f>
        <v>0.03391886646</v>
      </c>
      <c r="AD38" s="86">
        <f>AB38/AB$8</f>
        <v>0.4018520614</v>
      </c>
      <c r="AE38" s="94">
        <f>SUM(AE32:AE37)</f>
        <v>7343666.667</v>
      </c>
      <c r="AF38" s="87">
        <f>(AE38-AB38)/AB38</f>
        <v>0.03397944338</v>
      </c>
      <c r="AG38" s="86">
        <f>AE38/AE$8</f>
        <v>0.398300565</v>
      </c>
      <c r="AH38" s="94">
        <f>SUM(AH32:AH37)</f>
        <v>7628666.667</v>
      </c>
      <c r="AI38" s="87">
        <f>(AH38-AE38)/AE38</f>
        <v>0.03880895102</v>
      </c>
      <c r="AJ38" s="86">
        <f>AH38/AH$8</f>
        <v>0.3938494368</v>
      </c>
      <c r="AK38" s="94">
        <f>SUM(AK32:AK37)</f>
        <v>7922000</v>
      </c>
      <c r="AL38" s="87">
        <f>(AK38-AH38)/AH38</f>
        <v>0.03845145504</v>
      </c>
      <c r="AM38" s="86">
        <f>AK38/AK$8</f>
        <v>0.3902943712</v>
      </c>
      <c r="AN38" s="94">
        <f>SUM(AN32:AN37)</f>
        <v>8155000</v>
      </c>
      <c r="AO38" s="87">
        <f>(AN38-AK38)/AK38</f>
        <v>0.02941176471</v>
      </c>
      <c r="AP38" s="86">
        <f>AN38/AN$8</f>
        <v>0.3855153993</v>
      </c>
      <c r="AQ38" s="94">
        <f>SUM(AQ32:AQ37)</f>
        <v>8388000</v>
      </c>
      <c r="AR38" s="87">
        <f>(AQ38-AN38)/AN38</f>
        <v>0.02857142857</v>
      </c>
      <c r="AS38" s="86">
        <f>AQ38/AQ$8</f>
        <v>0.3798654983</v>
      </c>
      <c r="AT38" s="94">
        <f>SUM(AT32:AT37)</f>
        <v>8681333.333</v>
      </c>
      <c r="AU38" s="87">
        <f>(AT38-AQ38)/AQ38</f>
        <v>0.03497059291</v>
      </c>
      <c r="AV38" s="86">
        <f>AT38/AT$8</f>
        <v>0.3758478368</v>
      </c>
      <c r="AW38" s="94">
        <f>SUM(AW32:AW37)</f>
        <v>8966333.333</v>
      </c>
      <c r="AX38" s="87">
        <f>(AW38-AT38)/AT38</f>
        <v>0.03282905852</v>
      </c>
      <c r="AY38" s="86">
        <f>AW38/AW$8</f>
        <v>0.3717616491</v>
      </c>
      <c r="AZ38" s="94">
        <f>SUM(AZ32:AZ37)</f>
        <v>9259666.667</v>
      </c>
      <c r="BA38" s="87">
        <f>(AZ38-AW38)/AW38</f>
        <v>0.03271497082</v>
      </c>
      <c r="BB38" s="86">
        <f>AZ38/AZ$8</f>
        <v>0.3671047502</v>
      </c>
      <c r="BC38" s="94">
        <f>SUM(BC32:BC37)</f>
        <v>9605000</v>
      </c>
      <c r="BD38" s="87">
        <f>(BC38-AZ38)/AZ38</f>
        <v>0.03729435905</v>
      </c>
      <c r="BE38" s="86">
        <f>BC38/BC$8</f>
        <v>0.3637637524</v>
      </c>
      <c r="BF38" s="94">
        <f>SUM(BF32:BF37)</f>
        <v>9967000</v>
      </c>
      <c r="BG38" s="87">
        <f>(BF38-BC38)/BC38</f>
        <v>0.0376887038</v>
      </c>
      <c r="BH38" s="86">
        <f>BF38/BF$8</f>
        <v>0.3600469611</v>
      </c>
      <c r="BI38" s="94">
        <f>SUM(BI32:BI37)</f>
        <v>10312333.33</v>
      </c>
      <c r="BJ38" s="87">
        <f>(BI38-BF38)/BF38</f>
        <v>0.03464767065</v>
      </c>
      <c r="BK38" s="86">
        <f>BI38/BI$8</f>
        <v>0.3561872525</v>
      </c>
      <c r="BL38" s="94">
        <f>SUM(BL32:BL37)</f>
        <v>10657666.67</v>
      </c>
      <c r="BM38" s="87">
        <f>(BL38-BI38)/BI38</f>
        <v>0.0334874099</v>
      </c>
      <c r="BN38" s="86">
        <f>BL38/BL$8</f>
        <v>0.3516221269</v>
      </c>
      <c r="BO38" s="94">
        <f>SUM(BO32:BO37)</f>
        <v>11063333.33</v>
      </c>
      <c r="BP38" s="87">
        <f>(BO38-BL38)/BL38</f>
        <v>0.03806336597</v>
      </c>
      <c r="BQ38" s="86">
        <f>BO38/BO$8</f>
        <v>0.3475920428</v>
      </c>
      <c r="BR38" s="94">
        <f>SUM(BR32:BR37)</f>
        <v>11417000</v>
      </c>
      <c r="BS38" s="87">
        <f>(BR38-BO38)/BO38</f>
        <v>0.03196746008</v>
      </c>
      <c r="BT38" s="86">
        <f>BR38/BR$8</f>
        <v>0.3431516937</v>
      </c>
      <c r="BU38" s="94">
        <f>SUM(BU32:BU37)</f>
        <v>11822666.67</v>
      </c>
      <c r="BV38" s="87">
        <f>(BU38-BR38)/BR38</f>
        <v>0.03553180929</v>
      </c>
      <c r="BW38" s="86">
        <f>BU38/BU$8</f>
        <v>0.3389720359</v>
      </c>
      <c r="BX38" s="94">
        <f>SUM(BX32:BX37)</f>
        <v>12228333.33</v>
      </c>
      <c r="BY38" s="87">
        <f>(BX38-BU38)/BU38</f>
        <v>0.03431261983</v>
      </c>
      <c r="BZ38" s="86">
        <f>BX38/BX$8</f>
        <v>0.3343495518</v>
      </c>
      <c r="CA38" s="94">
        <f>SUM(CA32:CA37)</f>
        <v>12634000</v>
      </c>
      <c r="CB38" s="87">
        <f>(CA38-BX38)/BX38</f>
        <v>0.03317432193</v>
      </c>
      <c r="CC38" s="86">
        <f>CA38/CA$8</f>
        <v>0.3301366641</v>
      </c>
      <c r="CD38" s="94">
        <f>SUM(CD32:CD37)</f>
        <v>13048000</v>
      </c>
      <c r="CE38" s="87">
        <f>(CD38-CA38)/CA38</f>
        <v>0.03276871933</v>
      </c>
      <c r="CF38" s="86">
        <f>CD38/CD$8</f>
        <v>0.3258008939</v>
      </c>
      <c r="CG38" s="94">
        <f>SUM(CG32:CG37)</f>
        <v>13514000</v>
      </c>
      <c r="CH38" s="87">
        <f>(CG38-CD38)/CD38</f>
        <v>0.03571428571</v>
      </c>
      <c r="CI38" s="86">
        <f>CG38/CG$8</f>
        <v>0.321811709</v>
      </c>
      <c r="CJ38" s="94">
        <f>SUM(CJ32:CJ37)</f>
        <v>13928000</v>
      </c>
      <c r="CK38" s="87">
        <f>(CJ38-CG38)/CG38</f>
        <v>0.03063489714</v>
      </c>
      <c r="CL38" s="86">
        <f>CJ38/CJ$8</f>
        <v>0.3169019693</v>
      </c>
      <c r="CM38" s="94">
        <f>SUM(CM32:CM37)</f>
        <v>14385666.67</v>
      </c>
      <c r="CN38" s="87">
        <f>(CM38-CJ38)/CJ38</f>
        <v>0.03285946774</v>
      </c>
      <c r="CO38" s="86">
        <f>CM38/CM$8</f>
        <v>0.3123278947</v>
      </c>
      <c r="CP38" s="2"/>
      <c r="CQ38" s="2"/>
    </row>
    <row r="39" ht="9.75" customHeight="1">
      <c r="A39" s="2"/>
      <c r="B39" s="97"/>
      <c r="C39" s="83"/>
      <c r="D39" s="94"/>
      <c r="E39" s="35"/>
      <c r="F39" s="100"/>
      <c r="G39" s="94"/>
      <c r="H39" s="87"/>
      <c r="I39" s="100"/>
      <c r="J39" s="94"/>
      <c r="K39" s="87"/>
      <c r="L39" s="100"/>
      <c r="M39" s="94"/>
      <c r="N39" s="87"/>
      <c r="O39" s="100"/>
      <c r="P39" s="94"/>
      <c r="Q39" s="87"/>
      <c r="R39" s="100"/>
      <c r="S39" s="94"/>
      <c r="T39" s="87"/>
      <c r="U39" s="100"/>
      <c r="V39" s="94"/>
      <c r="W39" s="87"/>
      <c r="X39" s="100"/>
      <c r="Y39" s="94"/>
      <c r="Z39" s="87"/>
      <c r="AA39" s="100"/>
      <c r="AB39" s="94"/>
      <c r="AC39" s="87"/>
      <c r="AD39" s="100"/>
      <c r="AE39" s="94"/>
      <c r="AF39" s="87"/>
      <c r="AG39" s="100"/>
      <c r="AH39" s="94"/>
      <c r="AI39" s="87"/>
      <c r="AJ39" s="100"/>
      <c r="AK39" s="94"/>
      <c r="AL39" s="87"/>
      <c r="AM39" s="100"/>
      <c r="AN39" s="94"/>
      <c r="AO39" s="87"/>
      <c r="AP39" s="100"/>
      <c r="AQ39" s="94"/>
      <c r="AR39" s="87"/>
      <c r="AS39" s="100"/>
      <c r="AT39" s="94"/>
      <c r="AU39" s="87"/>
      <c r="AV39" s="100"/>
      <c r="AW39" s="94"/>
      <c r="AX39" s="87"/>
      <c r="AY39" s="100"/>
      <c r="AZ39" s="94"/>
      <c r="BA39" s="87"/>
      <c r="BB39" s="100"/>
      <c r="BC39" s="94"/>
      <c r="BD39" s="87"/>
      <c r="BE39" s="100"/>
      <c r="BF39" s="94"/>
      <c r="BG39" s="87"/>
      <c r="BH39" s="100"/>
      <c r="BI39" s="94"/>
      <c r="BJ39" s="87"/>
      <c r="BK39" s="100"/>
      <c r="BL39" s="94"/>
      <c r="BM39" s="87"/>
      <c r="BN39" s="100"/>
      <c r="BO39" s="94"/>
      <c r="BP39" s="87"/>
      <c r="BQ39" s="100"/>
      <c r="BR39" s="94"/>
      <c r="BS39" s="87"/>
      <c r="BT39" s="100"/>
      <c r="BU39" s="94"/>
      <c r="BV39" s="87"/>
      <c r="BW39" s="100"/>
      <c r="BX39" s="94"/>
      <c r="BY39" s="87"/>
      <c r="BZ39" s="100"/>
      <c r="CA39" s="94"/>
      <c r="CB39" s="87"/>
      <c r="CC39" s="100"/>
      <c r="CD39" s="94"/>
      <c r="CE39" s="87"/>
      <c r="CF39" s="100"/>
      <c r="CG39" s="94"/>
      <c r="CH39" s="87"/>
      <c r="CI39" s="100"/>
      <c r="CJ39" s="94"/>
      <c r="CK39" s="87"/>
      <c r="CL39" s="100"/>
      <c r="CM39" s="94"/>
      <c r="CN39" s="87"/>
      <c r="CO39" s="100"/>
      <c r="CP39" s="2"/>
      <c r="CQ39" s="2"/>
    </row>
    <row r="40" ht="13.5" customHeight="1">
      <c r="A40" s="2"/>
      <c r="B40" s="97">
        <v>5.0</v>
      </c>
      <c r="C40" s="83" t="s">
        <v>83</v>
      </c>
      <c r="D40" s="94"/>
      <c r="E40" s="35"/>
      <c r="F40" s="2"/>
      <c r="G40" s="94"/>
      <c r="H40" s="35"/>
      <c r="I40" s="2"/>
      <c r="J40" s="94"/>
      <c r="K40" s="35"/>
      <c r="L40" s="2"/>
      <c r="M40" s="94"/>
      <c r="N40" s="35"/>
      <c r="O40" s="2"/>
      <c r="P40" s="94"/>
      <c r="Q40" s="35"/>
      <c r="R40" s="2"/>
      <c r="S40" s="94"/>
      <c r="T40" s="35"/>
      <c r="U40" s="2"/>
      <c r="V40" s="94"/>
      <c r="W40" s="35"/>
      <c r="X40" s="2"/>
      <c r="Y40" s="94"/>
      <c r="Z40" s="35"/>
      <c r="AA40" s="2"/>
      <c r="AB40" s="94"/>
      <c r="AC40" s="35"/>
      <c r="AD40" s="2"/>
      <c r="AE40" s="94"/>
      <c r="AF40" s="35"/>
      <c r="AG40" s="2"/>
      <c r="AH40" s="94"/>
      <c r="AI40" s="35"/>
      <c r="AJ40" s="2"/>
      <c r="AK40" s="94"/>
      <c r="AL40" s="35"/>
      <c r="AM40" s="2"/>
      <c r="AN40" s="94"/>
      <c r="AO40" s="35"/>
      <c r="AP40" s="2"/>
      <c r="AQ40" s="94"/>
      <c r="AR40" s="35"/>
      <c r="AS40" s="2"/>
      <c r="AT40" s="94"/>
      <c r="AU40" s="35"/>
      <c r="AV40" s="2"/>
      <c r="AW40" s="94"/>
      <c r="AX40" s="35"/>
      <c r="AY40" s="2"/>
      <c r="AZ40" s="94"/>
      <c r="BA40" s="35"/>
      <c r="BB40" s="2"/>
      <c r="BC40" s="94"/>
      <c r="BD40" s="35"/>
      <c r="BE40" s="2"/>
      <c r="BF40" s="94"/>
      <c r="BG40" s="35"/>
      <c r="BH40" s="2"/>
      <c r="BI40" s="94"/>
      <c r="BJ40" s="35"/>
      <c r="BK40" s="2"/>
      <c r="BL40" s="94"/>
      <c r="BM40" s="35"/>
      <c r="BN40" s="2"/>
      <c r="BO40" s="94"/>
      <c r="BP40" s="35"/>
      <c r="BQ40" s="2"/>
      <c r="BR40" s="94"/>
      <c r="BS40" s="35"/>
      <c r="BT40" s="2"/>
      <c r="BU40" s="94"/>
      <c r="BV40" s="35"/>
      <c r="BW40" s="2"/>
      <c r="BX40" s="94"/>
      <c r="BY40" s="35"/>
      <c r="BZ40" s="2"/>
      <c r="CA40" s="94"/>
      <c r="CB40" s="35"/>
      <c r="CC40" s="2"/>
      <c r="CD40" s="94"/>
      <c r="CE40" s="35"/>
      <c r="CF40" s="2"/>
      <c r="CG40" s="94"/>
      <c r="CH40" s="35"/>
      <c r="CI40" s="2"/>
      <c r="CJ40" s="94"/>
      <c r="CK40" s="35"/>
      <c r="CL40" s="2"/>
      <c r="CM40" s="94"/>
      <c r="CN40" s="35"/>
      <c r="CO40" s="109"/>
      <c r="CP40" s="2"/>
      <c r="CQ40" s="2"/>
    </row>
    <row r="41" ht="9.75" customHeight="1">
      <c r="A41" s="1"/>
      <c r="B41" s="82"/>
      <c r="C41" s="93"/>
      <c r="D41" s="110"/>
      <c r="E41" s="2"/>
      <c r="F41" s="109"/>
      <c r="G41" s="110"/>
      <c r="H41" s="2"/>
      <c r="I41" s="109"/>
      <c r="J41" s="110"/>
      <c r="K41" s="2"/>
      <c r="L41" s="109"/>
      <c r="M41" s="110"/>
      <c r="N41" s="2"/>
      <c r="O41" s="109"/>
      <c r="P41" s="110"/>
      <c r="Q41" s="2"/>
      <c r="R41" s="109"/>
      <c r="S41" s="110"/>
      <c r="T41" s="2"/>
      <c r="U41" s="109"/>
      <c r="V41" s="110"/>
      <c r="W41" s="2"/>
      <c r="X41" s="109"/>
      <c r="Y41" s="110"/>
      <c r="Z41" s="2"/>
      <c r="AA41" s="109"/>
      <c r="AB41" s="110"/>
      <c r="AC41" s="2"/>
      <c r="AD41" s="109"/>
      <c r="AE41" s="110"/>
      <c r="AF41" s="2"/>
      <c r="AG41" s="109"/>
      <c r="AH41" s="110"/>
      <c r="AI41" s="2"/>
      <c r="AJ41" s="109"/>
      <c r="AK41" s="110"/>
      <c r="AL41" s="2"/>
      <c r="AM41" s="109"/>
      <c r="AN41" s="110"/>
      <c r="AO41" s="2"/>
      <c r="AP41" s="109"/>
      <c r="AQ41" s="110"/>
      <c r="AR41" s="2"/>
      <c r="AS41" s="109"/>
      <c r="AT41" s="110"/>
      <c r="AU41" s="2"/>
      <c r="AV41" s="109"/>
      <c r="AW41" s="110"/>
      <c r="AX41" s="2"/>
      <c r="AY41" s="109"/>
      <c r="AZ41" s="110"/>
      <c r="BA41" s="2"/>
      <c r="BB41" s="109"/>
      <c r="BC41" s="110"/>
      <c r="BD41" s="2"/>
      <c r="BE41" s="109"/>
      <c r="BF41" s="110"/>
      <c r="BG41" s="2"/>
      <c r="BH41" s="109"/>
      <c r="BI41" s="110"/>
      <c r="BJ41" s="2"/>
      <c r="BK41" s="109"/>
      <c r="BL41" s="110"/>
      <c r="BM41" s="2"/>
      <c r="BN41" s="109"/>
      <c r="BO41" s="110"/>
      <c r="BP41" s="2"/>
      <c r="BQ41" s="109"/>
      <c r="BR41" s="110"/>
      <c r="BS41" s="2"/>
      <c r="BT41" s="109"/>
      <c r="BU41" s="110"/>
      <c r="BV41" s="2"/>
      <c r="BW41" s="109"/>
      <c r="BX41" s="110"/>
      <c r="BY41" s="2"/>
      <c r="BZ41" s="109"/>
      <c r="CA41" s="110"/>
      <c r="CB41" s="2"/>
      <c r="CC41" s="109"/>
      <c r="CD41" s="110"/>
      <c r="CE41" s="2"/>
      <c r="CF41" s="109"/>
      <c r="CG41" s="110"/>
      <c r="CH41" s="2"/>
      <c r="CI41" s="109"/>
      <c r="CJ41" s="110"/>
      <c r="CK41" s="2"/>
      <c r="CL41" s="109"/>
      <c r="CM41" s="110"/>
      <c r="CN41" s="2"/>
      <c r="CO41" s="109"/>
      <c r="CP41" s="1"/>
    </row>
    <row r="42" ht="13.5" customHeight="1">
      <c r="A42" s="1"/>
      <c r="B42" s="82" t="s">
        <v>97</v>
      </c>
      <c r="C42" s="111" t="s">
        <v>124</v>
      </c>
      <c r="D42" s="112">
        <f>19/36*D$17</f>
        <v>1634879.63</v>
      </c>
      <c r="E42" s="32" t="s">
        <v>99</v>
      </c>
      <c r="F42" s="86">
        <f>D42/D$8</f>
        <v>0.1336095315</v>
      </c>
      <c r="G42" s="94">
        <f>D42*(1+H42)</f>
        <v>1749321.204</v>
      </c>
      <c r="H42" s="113">
        <v>0.07</v>
      </c>
      <c r="I42" s="86">
        <f>G42/G$8</f>
        <v>0.1363993141</v>
      </c>
      <c r="J42" s="94">
        <f>G42*(1+K42)</f>
        <v>1871773.688</v>
      </c>
      <c r="K42" s="19">
        <f>H42</f>
        <v>0.07</v>
      </c>
      <c r="L42" s="86">
        <f>J42/J$8</f>
        <v>0.1385318942</v>
      </c>
      <c r="M42" s="94">
        <f>J42*(1+N42)</f>
        <v>2002797.846</v>
      </c>
      <c r="N42" s="19">
        <f>K42</f>
        <v>0.07</v>
      </c>
      <c r="O42" s="86">
        <f>M42/M$8</f>
        <v>0.1411365242</v>
      </c>
      <c r="P42" s="94">
        <f>M42*(1+Q42)</f>
        <v>2142993.695</v>
      </c>
      <c r="Q42" s="19">
        <f>N42</f>
        <v>0.07</v>
      </c>
      <c r="R42" s="86">
        <f>P42/P$8</f>
        <v>0.1441200911</v>
      </c>
      <c r="S42" s="94">
        <f>P42*(1+T42)</f>
        <v>2293003.254</v>
      </c>
      <c r="T42" s="19">
        <f>Q42</f>
        <v>0.07</v>
      </c>
      <c r="U42" s="86">
        <f>S42/S$8</f>
        <v>0.1481986269</v>
      </c>
      <c r="V42" s="94">
        <f>S42*(1+W42)</f>
        <v>2453513.482</v>
      </c>
      <c r="W42" s="19">
        <f>T42</f>
        <v>0.07</v>
      </c>
      <c r="X42" s="86">
        <f>V42/V$8</f>
        <v>0.1519062305</v>
      </c>
      <c r="Y42" s="94">
        <f>V42*(1+Z42)</f>
        <v>2625259.426</v>
      </c>
      <c r="Z42" s="19">
        <f>W42</f>
        <v>0.07</v>
      </c>
      <c r="AA42" s="86">
        <f>Y42/Y$8</f>
        <v>0.1552810709</v>
      </c>
      <c r="AB42" s="94">
        <f>Y42*(1+AC42)</f>
        <v>2809027.585</v>
      </c>
      <c r="AC42" s="19">
        <f>Z42</f>
        <v>0.07</v>
      </c>
      <c r="AD42" s="86">
        <f>AB42/AB$8</f>
        <v>0.1589355882</v>
      </c>
      <c r="AE42" s="94">
        <f>AB42*(1+AF42)</f>
        <v>3005659.516</v>
      </c>
      <c r="AF42" s="19">
        <f>AC42</f>
        <v>0.07</v>
      </c>
      <c r="AG42" s="86">
        <f>AE42/AE$8</f>
        <v>0.1630188212</v>
      </c>
      <c r="AH42" s="94">
        <f>AE42*(1+AI42)</f>
        <v>3216055.682</v>
      </c>
      <c r="AI42" s="19">
        <f>AF42</f>
        <v>0.07</v>
      </c>
      <c r="AJ42" s="86">
        <f>AH42/AH$8</f>
        <v>0.1660371038</v>
      </c>
      <c r="AK42" s="94">
        <f>AH42*(1+AL42)</f>
        <v>3441179.58</v>
      </c>
      <c r="AL42" s="19">
        <f>AI42</f>
        <v>0.07</v>
      </c>
      <c r="AM42" s="86">
        <f>AK42/AK$8</f>
        <v>0.1695371144</v>
      </c>
      <c r="AN42" s="94">
        <f>AK42*(1+AO42)</f>
        <v>3682062.151</v>
      </c>
      <c r="AO42" s="19">
        <f>AL42</f>
        <v>0.07</v>
      </c>
      <c r="AP42" s="86">
        <f>AN42/AN$8</f>
        <v>0.1740639682</v>
      </c>
      <c r="AQ42" s="94">
        <f>AN42*(1+AR42)</f>
        <v>3939806.501</v>
      </c>
      <c r="AR42" s="19">
        <f>AO42</f>
        <v>0.07</v>
      </c>
      <c r="AS42" s="86">
        <f>AQ42/AQ$8</f>
        <v>0.1784211445</v>
      </c>
      <c r="AT42" s="94">
        <f>AQ42*(1+AU42)</f>
        <v>4215592.956</v>
      </c>
      <c r="AU42" s="19">
        <f>AR42</f>
        <v>0.07</v>
      </c>
      <c r="AV42" s="86">
        <f>AT42/AT$8</f>
        <v>0.1825090032</v>
      </c>
      <c r="AW42" s="94">
        <f>AT42*(1+AX42)</f>
        <v>4510684.463</v>
      </c>
      <c r="AX42" s="19">
        <f>AU42</f>
        <v>0.07</v>
      </c>
      <c r="AY42" s="86">
        <f>AW42/AW$8</f>
        <v>0.187021766</v>
      </c>
      <c r="AZ42" s="94">
        <f>AW42*(1+BA42)</f>
        <v>4826432.376</v>
      </c>
      <c r="BA42" s="19">
        <f>AX42</f>
        <v>0.07</v>
      </c>
      <c r="BB42" s="86">
        <f>AZ42/AZ$8</f>
        <v>0.1913466559</v>
      </c>
      <c r="BC42" s="94">
        <f>AZ42*(1+BD42)</f>
        <v>5164282.642</v>
      </c>
      <c r="BD42" s="19">
        <f>BA42</f>
        <v>0.07</v>
      </c>
      <c r="BE42" s="86">
        <f>BC42/BC$8</f>
        <v>0.1955834287</v>
      </c>
      <c r="BF42" s="94">
        <f>BC42*(1+BG42)</f>
        <v>5525782.427</v>
      </c>
      <c r="BG42" s="19">
        <f>BD42</f>
        <v>0.07</v>
      </c>
      <c r="BH42" s="86">
        <f>BF42/BF$8</f>
        <v>0.1996128394</v>
      </c>
      <c r="BI42" s="94">
        <f>BF42*(1+BJ42)</f>
        <v>5912587.197</v>
      </c>
      <c r="BJ42" s="19">
        <f>BG42</f>
        <v>0.07</v>
      </c>
      <c r="BK42" s="86">
        <f>BI42/BI$8</f>
        <v>0.204220337</v>
      </c>
      <c r="BL42" s="94">
        <f>BI42*(1+BM42)</f>
        <v>6326468.301</v>
      </c>
      <c r="BM42" s="19">
        <f>BJ42</f>
        <v>0.07</v>
      </c>
      <c r="BN42" s="86">
        <f>BL42/BL$8</f>
        <v>0.2087254471</v>
      </c>
      <c r="BO42" s="94">
        <f>BL42*(1+BP42)</f>
        <v>6769321.082</v>
      </c>
      <c r="BP42" s="19">
        <f>BM42</f>
        <v>0.07</v>
      </c>
      <c r="BQ42" s="86">
        <f>BO42/BO$8</f>
        <v>0.2126811217</v>
      </c>
      <c r="BR42" s="94">
        <f>BO42*(1+BS42)</f>
        <v>7243173.558</v>
      </c>
      <c r="BS42" s="19">
        <f>BP42</f>
        <v>0.07</v>
      </c>
      <c r="BT42" s="86">
        <f>BR42/BR$8</f>
        <v>0.21770231</v>
      </c>
      <c r="BU42" s="94">
        <f>BR42*(1+BV42)</f>
        <v>7750195.707</v>
      </c>
      <c r="BV42" s="19">
        <f>BS42</f>
        <v>0.07</v>
      </c>
      <c r="BW42" s="86">
        <f>BU42/BU$8</f>
        <v>0.2222087192</v>
      </c>
      <c r="BX42" s="94">
        <f>BU42*(1+BY42)</f>
        <v>8292709.406</v>
      </c>
      <c r="BY42" s="19">
        <f>BV42</f>
        <v>0.07</v>
      </c>
      <c r="BZ42" s="86">
        <f>BX42/BX$8</f>
        <v>0.2267409301</v>
      </c>
      <c r="CA42" s="94">
        <f>BX42*(1+CB42)</f>
        <v>8873199.065</v>
      </c>
      <c r="CB42" s="19">
        <f>BY42</f>
        <v>0.07</v>
      </c>
      <c r="CC42" s="86">
        <f>CA42/CA$8</f>
        <v>0.2318638863</v>
      </c>
      <c r="CD42" s="94">
        <f>CA42*(1+CE42)</f>
        <v>9494322.999</v>
      </c>
      <c r="CE42" s="19">
        <f>CB42</f>
        <v>0.07</v>
      </c>
      <c r="CF42" s="86">
        <f>CD42/CD$8</f>
        <v>0.2370676671</v>
      </c>
      <c r="CG42" s="94">
        <f>CD42*(1+CH42)</f>
        <v>10158925.61</v>
      </c>
      <c r="CH42" s="19">
        <f>CE42</f>
        <v>0.07</v>
      </c>
      <c r="CI42" s="86">
        <f>CG42/CG$8</f>
        <v>0.2419166206</v>
      </c>
      <c r="CJ42" s="94">
        <f>CG42*(1+CK42)</f>
        <v>10870050.4</v>
      </c>
      <c r="CK42" s="19">
        <f>CH42</f>
        <v>0.07</v>
      </c>
      <c r="CL42" s="86">
        <f>CJ42/CJ$8</f>
        <v>0.2473248405</v>
      </c>
      <c r="CM42" s="94">
        <f>CJ42*(1+CN42)</f>
        <v>11630953.93</v>
      </c>
      <c r="CN42" s="19">
        <f>CK42</f>
        <v>0.07</v>
      </c>
      <c r="CO42" s="86">
        <f>CM42/CM$8</f>
        <v>0.2525201952</v>
      </c>
      <c r="CP42" s="1"/>
    </row>
    <row r="43" ht="13.5" customHeight="1">
      <c r="A43" s="1"/>
      <c r="B43" s="82"/>
      <c r="C43" s="34"/>
      <c r="D43" s="110"/>
      <c r="E43" s="114"/>
      <c r="F43" s="115"/>
      <c r="G43" s="110"/>
      <c r="H43" s="2"/>
      <c r="I43" s="115"/>
      <c r="J43" s="110"/>
      <c r="K43" s="2"/>
      <c r="L43" s="115"/>
      <c r="M43" s="110"/>
      <c r="N43" s="2"/>
      <c r="O43" s="115"/>
      <c r="P43" s="110"/>
      <c r="Q43" s="2"/>
      <c r="R43" s="115"/>
      <c r="S43" s="110"/>
      <c r="T43" s="2"/>
      <c r="U43" s="115"/>
      <c r="V43" s="110"/>
      <c r="W43" s="2"/>
      <c r="X43" s="115"/>
      <c r="Y43" s="110"/>
      <c r="Z43" s="2"/>
      <c r="AA43" s="115"/>
      <c r="AB43" s="110"/>
      <c r="AC43" s="2"/>
      <c r="AD43" s="115"/>
      <c r="AE43" s="110"/>
      <c r="AF43" s="2"/>
      <c r="AG43" s="115"/>
      <c r="AH43" s="110"/>
      <c r="AI43" s="2"/>
      <c r="AJ43" s="115"/>
      <c r="AK43" s="110"/>
      <c r="AL43" s="2"/>
      <c r="AM43" s="115"/>
      <c r="AN43" s="110"/>
      <c r="AO43" s="2"/>
      <c r="AP43" s="115"/>
      <c r="AQ43" s="110"/>
      <c r="AR43" s="2"/>
      <c r="AS43" s="115"/>
      <c r="AT43" s="110"/>
      <c r="AU43" s="2"/>
      <c r="AV43" s="115"/>
      <c r="AW43" s="110"/>
      <c r="AX43" s="2"/>
      <c r="AY43" s="115"/>
      <c r="AZ43" s="110"/>
      <c r="BA43" s="2"/>
      <c r="BB43" s="115"/>
      <c r="BC43" s="110"/>
      <c r="BD43" s="2"/>
      <c r="BE43" s="115"/>
      <c r="BF43" s="110"/>
      <c r="BG43" s="2"/>
      <c r="BH43" s="115"/>
      <c r="BI43" s="110"/>
      <c r="BJ43" s="2"/>
      <c r="BK43" s="115"/>
      <c r="BL43" s="110"/>
      <c r="BM43" s="2"/>
      <c r="BN43" s="115"/>
      <c r="BO43" s="110"/>
      <c r="BP43" s="2"/>
      <c r="BQ43" s="115"/>
      <c r="BR43" s="110"/>
      <c r="BS43" s="2"/>
      <c r="BT43" s="115"/>
      <c r="BU43" s="110"/>
      <c r="BV43" s="2"/>
      <c r="BW43" s="115"/>
      <c r="BX43" s="110"/>
      <c r="BY43" s="2"/>
      <c r="BZ43" s="115"/>
      <c r="CA43" s="110"/>
      <c r="CB43" s="2"/>
      <c r="CC43" s="115"/>
      <c r="CD43" s="110"/>
      <c r="CE43" s="2"/>
      <c r="CF43" s="115"/>
      <c r="CG43" s="110"/>
      <c r="CH43" s="2"/>
      <c r="CI43" s="115"/>
      <c r="CJ43" s="110"/>
      <c r="CK43" s="2"/>
      <c r="CL43" s="115"/>
      <c r="CM43" s="110"/>
      <c r="CN43" s="2"/>
      <c r="CO43" s="115"/>
      <c r="CP43" s="1"/>
    </row>
    <row r="44" ht="13.5" customHeight="1">
      <c r="A44" s="1"/>
      <c r="B44" s="82"/>
      <c r="C44" s="34"/>
      <c r="D44" s="110"/>
      <c r="E44" s="2"/>
      <c r="F44" s="109"/>
      <c r="G44" s="110"/>
      <c r="H44" s="2"/>
      <c r="I44" s="109"/>
      <c r="J44" s="110"/>
      <c r="K44" s="2"/>
      <c r="L44" s="109"/>
      <c r="M44" s="110"/>
      <c r="N44" s="2"/>
      <c r="O44" s="109"/>
      <c r="P44" s="110"/>
      <c r="Q44" s="2"/>
      <c r="R44" s="109"/>
      <c r="S44" s="110"/>
      <c r="T44" s="2"/>
      <c r="U44" s="109"/>
      <c r="V44" s="110"/>
      <c r="W44" s="2"/>
      <c r="X44" s="109"/>
      <c r="Y44" s="110"/>
      <c r="Z44" s="2"/>
      <c r="AA44" s="109"/>
      <c r="AB44" s="110"/>
      <c r="AC44" s="2"/>
      <c r="AD44" s="109"/>
      <c r="AE44" s="110"/>
      <c r="AF44" s="2"/>
      <c r="AG44" s="109"/>
      <c r="AH44" s="110"/>
      <c r="AI44" s="2"/>
      <c r="AJ44" s="109"/>
      <c r="AK44" s="110"/>
      <c r="AL44" s="2"/>
      <c r="AM44" s="109"/>
      <c r="AN44" s="110"/>
      <c r="AO44" s="2"/>
      <c r="AP44" s="109"/>
      <c r="AQ44" s="110"/>
      <c r="AR44" s="2"/>
      <c r="AS44" s="109"/>
      <c r="AT44" s="110"/>
      <c r="AU44" s="2"/>
      <c r="AV44" s="109"/>
      <c r="AW44" s="110"/>
      <c r="AX44" s="2"/>
      <c r="AY44" s="109"/>
      <c r="AZ44" s="110"/>
      <c r="BA44" s="2"/>
      <c r="BB44" s="109"/>
      <c r="BC44" s="110"/>
      <c r="BD44" s="2"/>
      <c r="BE44" s="109"/>
      <c r="BF44" s="110"/>
      <c r="BG44" s="2"/>
      <c r="BH44" s="109"/>
      <c r="BI44" s="110"/>
      <c r="BJ44" s="2"/>
      <c r="BK44" s="109"/>
      <c r="BL44" s="110"/>
      <c r="BM44" s="2"/>
      <c r="BN44" s="109"/>
      <c r="BO44" s="110"/>
      <c r="BP44" s="2"/>
      <c r="BQ44" s="109"/>
      <c r="BR44" s="110"/>
      <c r="BS44" s="2"/>
      <c r="BT44" s="109"/>
      <c r="BU44" s="110"/>
      <c r="BV44" s="2"/>
      <c r="BW44" s="109"/>
      <c r="BX44" s="110"/>
      <c r="BY44" s="2"/>
      <c r="BZ44" s="109"/>
      <c r="CA44" s="110"/>
      <c r="CB44" s="2"/>
      <c r="CC44" s="109"/>
      <c r="CD44" s="110"/>
      <c r="CE44" s="2"/>
      <c r="CF44" s="109"/>
      <c r="CG44" s="110"/>
      <c r="CH44" s="2"/>
      <c r="CI44" s="109"/>
      <c r="CJ44" s="110"/>
      <c r="CK44" s="2"/>
      <c r="CL44" s="109"/>
      <c r="CM44" s="110"/>
      <c r="CN44" s="2"/>
      <c r="CO44" s="109"/>
      <c r="CP44" s="1"/>
    </row>
    <row r="45" ht="9.75" customHeight="1">
      <c r="A45" s="1"/>
      <c r="B45" s="82"/>
      <c r="C45" s="93"/>
      <c r="D45" s="110"/>
      <c r="E45" s="2"/>
      <c r="F45" s="109"/>
      <c r="G45" s="110"/>
      <c r="H45" s="2"/>
      <c r="I45" s="109"/>
      <c r="J45" s="110"/>
      <c r="K45" s="2"/>
      <c r="L45" s="109"/>
      <c r="M45" s="110"/>
      <c r="N45" s="2"/>
      <c r="O45" s="109"/>
      <c r="P45" s="110"/>
      <c r="Q45" s="2"/>
      <c r="R45" s="109"/>
      <c r="S45" s="110"/>
      <c r="T45" s="2"/>
      <c r="U45" s="109"/>
      <c r="V45" s="110"/>
      <c r="W45" s="2"/>
      <c r="X45" s="109"/>
      <c r="Y45" s="110"/>
      <c r="Z45" s="2"/>
      <c r="AA45" s="109"/>
      <c r="AB45" s="110"/>
      <c r="AC45" s="2"/>
      <c r="AD45" s="109"/>
      <c r="AE45" s="110"/>
      <c r="AF45" s="2"/>
      <c r="AG45" s="109"/>
      <c r="AH45" s="110"/>
      <c r="AI45" s="2"/>
      <c r="AJ45" s="109"/>
      <c r="AK45" s="110"/>
      <c r="AL45" s="2"/>
      <c r="AM45" s="109"/>
      <c r="AN45" s="110"/>
      <c r="AO45" s="2"/>
      <c r="AP45" s="109"/>
      <c r="AQ45" s="110"/>
      <c r="AR45" s="2"/>
      <c r="AS45" s="109"/>
      <c r="AT45" s="110"/>
      <c r="AU45" s="2"/>
      <c r="AV45" s="109"/>
      <c r="AW45" s="110"/>
      <c r="AX45" s="2"/>
      <c r="AY45" s="109"/>
      <c r="AZ45" s="110"/>
      <c r="BA45" s="2"/>
      <c r="BB45" s="109"/>
      <c r="BC45" s="110"/>
      <c r="BD45" s="2"/>
      <c r="BE45" s="109"/>
      <c r="BF45" s="110"/>
      <c r="BG45" s="2"/>
      <c r="BH45" s="109"/>
      <c r="BI45" s="110"/>
      <c r="BJ45" s="2"/>
      <c r="BK45" s="109"/>
      <c r="BL45" s="110"/>
      <c r="BM45" s="2"/>
      <c r="BN45" s="109"/>
      <c r="BO45" s="110"/>
      <c r="BP45" s="2"/>
      <c r="BQ45" s="109"/>
      <c r="BR45" s="110"/>
      <c r="BS45" s="2"/>
      <c r="BT45" s="109"/>
      <c r="BU45" s="110"/>
      <c r="BV45" s="2"/>
      <c r="BW45" s="109"/>
      <c r="BX45" s="110"/>
      <c r="BY45" s="2"/>
      <c r="BZ45" s="109"/>
      <c r="CA45" s="110"/>
      <c r="CB45" s="2"/>
      <c r="CC45" s="109"/>
      <c r="CD45" s="110"/>
      <c r="CE45" s="2"/>
      <c r="CF45" s="109"/>
      <c r="CG45" s="110"/>
      <c r="CH45" s="2"/>
      <c r="CI45" s="109"/>
      <c r="CJ45" s="110"/>
      <c r="CK45" s="2"/>
      <c r="CL45" s="109"/>
      <c r="CM45" s="110"/>
      <c r="CN45" s="2"/>
      <c r="CO45" s="109"/>
      <c r="CP45" s="1"/>
    </row>
    <row r="46" ht="13.5" customHeight="1">
      <c r="A46" s="1"/>
      <c r="B46" s="82" t="s">
        <v>100</v>
      </c>
      <c r="C46" s="111" t="s">
        <v>125</v>
      </c>
      <c r="D46" s="112">
        <f>11/36*D$17</f>
        <v>946509.2593</v>
      </c>
      <c r="E46" s="32" t="s">
        <v>99</v>
      </c>
      <c r="F46" s="86">
        <f>D46/D$8</f>
        <v>0.07735288665</v>
      </c>
      <c r="G46" s="94">
        <f>D46*(1+H46)</f>
        <v>974904.537</v>
      </c>
      <c r="H46" s="113">
        <v>0.03</v>
      </c>
      <c r="I46" s="86">
        <f>G46/G$8</f>
        <v>0.07601594831</v>
      </c>
      <c r="J46" s="94">
        <f>G46*(1+K46)</f>
        <v>1004151.673</v>
      </c>
      <c r="K46" s="19">
        <f>H46</f>
        <v>0.03</v>
      </c>
      <c r="L46" s="86">
        <f>J46/J$8</f>
        <v>0.07431829724</v>
      </c>
      <c r="M46" s="94">
        <f>J46*(1+N46)</f>
        <v>1034276.223</v>
      </c>
      <c r="N46" s="19">
        <f>K46</f>
        <v>0.03</v>
      </c>
      <c r="O46" s="86">
        <f>M46/M$8</f>
        <v>0.07288511492</v>
      </c>
      <c r="P46" s="94">
        <f>M46*(1+Q46)</f>
        <v>1065304.51</v>
      </c>
      <c r="Q46" s="19">
        <f>N46</f>
        <v>0.03</v>
      </c>
      <c r="R46" s="86">
        <f>P46/P$8</f>
        <v>0.07164359999</v>
      </c>
      <c r="S46" s="94">
        <f>P46*(1+T46)</f>
        <v>1097263.645</v>
      </c>
      <c r="T46" s="19">
        <f>Q46</f>
        <v>0.03</v>
      </c>
      <c r="U46" s="86">
        <f>S46/S$8</f>
        <v>0.07091702345</v>
      </c>
      <c r="V46" s="94">
        <f>S46*(1+W46)</f>
        <v>1130181.555</v>
      </c>
      <c r="W46" s="19">
        <f>T46</f>
        <v>0.03</v>
      </c>
      <c r="X46" s="86">
        <f>V46/V$8</f>
        <v>0.06997378291</v>
      </c>
      <c r="Y46" s="94">
        <f>V46*(1+Z46)</f>
        <v>1164087.001</v>
      </c>
      <c r="Z46" s="19">
        <f>W46</f>
        <v>0.03</v>
      </c>
      <c r="AA46" s="86">
        <f>Y46/Y$8</f>
        <v>0.06885440519</v>
      </c>
      <c r="AB46" s="94">
        <f>Y46*(1+AC46)</f>
        <v>1199009.611</v>
      </c>
      <c r="AC46" s="19">
        <f>Z46</f>
        <v>0.03</v>
      </c>
      <c r="AD46" s="86">
        <f>AB46/AB$8</f>
        <v>0.06784030844</v>
      </c>
      <c r="AE46" s="94">
        <f>AB46*(1+AF46)</f>
        <v>1234979.9</v>
      </c>
      <c r="AF46" s="19">
        <f>AC46</f>
        <v>0.03</v>
      </c>
      <c r="AG46" s="86">
        <f>AE46/AE$8</f>
        <v>0.06698196066</v>
      </c>
      <c r="AH46" s="94">
        <f>AE46*(1+AI46)</f>
        <v>1272029.297</v>
      </c>
      <c r="AI46" s="19">
        <f>AF46</f>
        <v>0.03</v>
      </c>
      <c r="AJ46" s="86">
        <f>AH46/AH$8</f>
        <v>0.0656717673</v>
      </c>
      <c r="AK46" s="94">
        <f>AH46*(1+AL46)</f>
        <v>1310190.176</v>
      </c>
      <c r="AL46" s="19">
        <f>AI46</f>
        <v>0.03</v>
      </c>
      <c r="AM46" s="86">
        <f>AK46/AK$8</f>
        <v>0.06454933739</v>
      </c>
      <c r="AN46" s="94">
        <f>AK46*(1+AO46)</f>
        <v>1349495.881</v>
      </c>
      <c r="AO46" s="19">
        <f>AL46</f>
        <v>0.03</v>
      </c>
      <c r="AP46" s="86">
        <f>AN46/AN$8</f>
        <v>0.06379539466</v>
      </c>
      <c r="AQ46" s="94">
        <f>AN46*(1+AR46)</f>
        <v>1389980.757</v>
      </c>
      <c r="AR46" s="19">
        <f>AO46</f>
        <v>0.03</v>
      </c>
      <c r="AS46" s="86">
        <f>AQ46/AQ$8</f>
        <v>0.06294775071</v>
      </c>
      <c r="AT46" s="94">
        <f>AQ46*(1+AU46)</f>
        <v>1431680.18</v>
      </c>
      <c r="AU46" s="19">
        <f>AR46</f>
        <v>0.03</v>
      </c>
      <c r="AV46" s="86">
        <f>AT46/AT$8</f>
        <v>0.06198286345</v>
      </c>
      <c r="AW46" s="94">
        <f>AT46*(1+AX46)</f>
        <v>1474630.585</v>
      </c>
      <c r="AX46" s="19">
        <f>AU46</f>
        <v>0.03</v>
      </c>
      <c r="AY46" s="86">
        <f>AW46/AW$8</f>
        <v>0.06114105709</v>
      </c>
      <c r="AZ46" s="94">
        <f>AW46*(1+BA46)</f>
        <v>1518869.503</v>
      </c>
      <c r="BA46" s="19">
        <f>AX46</f>
        <v>0.03</v>
      </c>
      <c r="BB46" s="86">
        <f>AZ46/AZ$8</f>
        <v>0.0602164451</v>
      </c>
      <c r="BC46" s="94">
        <f>AZ46*(1+BD46)</f>
        <v>1564435.588</v>
      </c>
      <c r="BD46" s="19">
        <f>BA46</f>
        <v>0.03</v>
      </c>
      <c r="BE46" s="86">
        <f>BC46/BC$8</f>
        <v>0.05924882456</v>
      </c>
      <c r="BF46" s="94">
        <f>BC46*(1+BG46)</f>
        <v>1611368.656</v>
      </c>
      <c r="BG46" s="19">
        <f>BD46</f>
        <v>0.03</v>
      </c>
      <c r="BH46" s="86">
        <f>BF46/BF$8</f>
        <v>0.05820892823</v>
      </c>
      <c r="BI46" s="94">
        <f>BF46*(1+BJ46)</f>
        <v>1659709.715</v>
      </c>
      <c r="BJ46" s="19">
        <f>BG46</f>
        <v>0.03</v>
      </c>
      <c r="BK46" s="86">
        <f>BI46/BI$8</f>
        <v>0.05732625433</v>
      </c>
      <c r="BL46" s="94">
        <f>BI46*(1+BM46)</f>
        <v>1709501.007</v>
      </c>
      <c r="BM46" s="19">
        <f>BJ46</f>
        <v>0.03</v>
      </c>
      <c r="BN46" s="86">
        <f>BL46/BL$8</f>
        <v>0.0564005611</v>
      </c>
      <c r="BO46" s="94">
        <f>BL46*(1+BP46)</f>
        <v>1760786.037</v>
      </c>
      <c r="BP46" s="19">
        <f>BM46</f>
        <v>0.03</v>
      </c>
      <c r="BQ46" s="86">
        <f>BO46/BO$8</f>
        <v>0.05532104991</v>
      </c>
      <c r="BR46" s="94">
        <f>BO46*(1+BS46)</f>
        <v>1813609.618</v>
      </c>
      <c r="BS46" s="19">
        <f>BP46</f>
        <v>0.03</v>
      </c>
      <c r="BT46" s="86">
        <f>BR46/BR$8</f>
        <v>0.05451022266</v>
      </c>
      <c r="BU46" s="94">
        <f>BR46*(1+BV46)</f>
        <v>1868017.907</v>
      </c>
      <c r="BV46" s="19">
        <f>BS46</f>
        <v>0.03</v>
      </c>
      <c r="BW46" s="86">
        <f>BU46/BU$8</f>
        <v>0.05355863027</v>
      </c>
      <c r="BX46" s="94">
        <f>BU46*(1+BY46)</f>
        <v>1924058.444</v>
      </c>
      <c r="BY46" s="19">
        <f>BV46</f>
        <v>0.03</v>
      </c>
      <c r="BZ46" s="86">
        <f>BX46/BX$8</f>
        <v>0.05260799333</v>
      </c>
      <c r="CA46" s="94">
        <f>BX46*(1+CB46)</f>
        <v>1981780.197</v>
      </c>
      <c r="CB46" s="19">
        <f>BY46</f>
        <v>0.03</v>
      </c>
      <c r="CC46" s="86">
        <f>CA46/CA$8</f>
        <v>0.05178552346</v>
      </c>
      <c r="CD46" s="94">
        <f>CA46*(1+CE46)</f>
        <v>2041233.603</v>
      </c>
      <c r="CE46" s="19">
        <f>CB46</f>
        <v>0.03</v>
      </c>
      <c r="CF46" s="86">
        <f>CD46/CD$8</f>
        <v>0.05096840378</v>
      </c>
      <c r="CG46" s="94">
        <f>CD46*(1+CH46)</f>
        <v>2102470.611</v>
      </c>
      <c r="CH46" s="19">
        <f>CE46</f>
        <v>0.03</v>
      </c>
      <c r="CI46" s="86">
        <f>CG46/CG$8</f>
        <v>0.05006657248</v>
      </c>
      <c r="CJ46" s="94">
        <f>CG46*(1+CK46)</f>
        <v>2165544.73</v>
      </c>
      <c r="CK46" s="19">
        <f>CH46</f>
        <v>0.03</v>
      </c>
      <c r="CL46" s="86">
        <f>CJ46/CJ$8</f>
        <v>0.04927235707</v>
      </c>
      <c r="CM46" s="94">
        <f>CJ46*(1+CN46)</f>
        <v>2230511.071</v>
      </c>
      <c r="CN46" s="19">
        <f>CK46</f>
        <v>0.03</v>
      </c>
      <c r="CO46" s="86">
        <f>CM46/CM$8</f>
        <v>0.04842673219</v>
      </c>
      <c r="CP46" s="1"/>
    </row>
    <row r="47" ht="13.5" customHeight="1">
      <c r="A47" s="1"/>
      <c r="B47" s="82"/>
      <c r="C47" s="34"/>
      <c r="D47" s="94"/>
      <c r="E47" s="114"/>
      <c r="F47" s="115"/>
      <c r="G47" s="110"/>
      <c r="H47" s="2"/>
      <c r="I47" s="115"/>
      <c r="J47" s="110"/>
      <c r="K47" s="2"/>
      <c r="L47" s="115"/>
      <c r="M47" s="110"/>
      <c r="N47" s="2"/>
      <c r="O47" s="115"/>
      <c r="P47" s="110"/>
      <c r="Q47" s="2"/>
      <c r="R47" s="115"/>
      <c r="S47" s="110"/>
      <c r="T47" s="2"/>
      <c r="U47" s="115"/>
      <c r="V47" s="110"/>
      <c r="W47" s="2"/>
      <c r="X47" s="115"/>
      <c r="Y47" s="110"/>
      <c r="Z47" s="2"/>
      <c r="AA47" s="115"/>
      <c r="AB47" s="110"/>
      <c r="AC47" s="2"/>
      <c r="AD47" s="115"/>
      <c r="AE47" s="110"/>
      <c r="AF47" s="2"/>
      <c r="AG47" s="115"/>
      <c r="AH47" s="110"/>
      <c r="AI47" s="2"/>
      <c r="AJ47" s="115"/>
      <c r="AK47" s="110"/>
      <c r="AL47" s="2"/>
      <c r="AM47" s="115"/>
      <c r="AN47" s="110"/>
      <c r="AO47" s="2"/>
      <c r="AP47" s="115"/>
      <c r="AQ47" s="110"/>
      <c r="AR47" s="2"/>
      <c r="AS47" s="115"/>
      <c r="AT47" s="110"/>
      <c r="AU47" s="2"/>
      <c r="AV47" s="115"/>
      <c r="AW47" s="110"/>
      <c r="AX47" s="2"/>
      <c r="AY47" s="115"/>
      <c r="AZ47" s="110"/>
      <c r="BA47" s="2"/>
      <c r="BB47" s="115"/>
      <c r="BC47" s="110"/>
      <c r="BD47" s="2"/>
      <c r="BE47" s="115"/>
      <c r="BF47" s="110"/>
      <c r="BG47" s="2"/>
      <c r="BH47" s="115"/>
      <c r="BI47" s="110"/>
      <c r="BJ47" s="2"/>
      <c r="BK47" s="115"/>
      <c r="BL47" s="110"/>
      <c r="BM47" s="2"/>
      <c r="BN47" s="115"/>
      <c r="BO47" s="110"/>
      <c r="BP47" s="2"/>
      <c r="BQ47" s="115"/>
      <c r="BR47" s="110"/>
      <c r="BS47" s="2"/>
      <c r="BT47" s="115"/>
      <c r="BU47" s="110"/>
      <c r="BV47" s="2"/>
      <c r="BW47" s="115"/>
      <c r="BX47" s="110"/>
      <c r="BY47" s="2"/>
      <c r="BZ47" s="115"/>
      <c r="CA47" s="110"/>
      <c r="CB47" s="2"/>
      <c r="CC47" s="115"/>
      <c r="CD47" s="110"/>
      <c r="CE47" s="2"/>
      <c r="CF47" s="115"/>
      <c r="CG47" s="110"/>
      <c r="CH47" s="2"/>
      <c r="CI47" s="115"/>
      <c r="CJ47" s="110"/>
      <c r="CK47" s="2"/>
      <c r="CL47" s="115"/>
      <c r="CM47" s="110"/>
      <c r="CN47" s="2"/>
      <c r="CO47" s="115"/>
      <c r="CP47" s="1"/>
    </row>
    <row r="48" ht="13.5" customHeight="1">
      <c r="A48" s="1"/>
      <c r="B48" s="82"/>
      <c r="C48" s="34"/>
      <c r="D48" s="94"/>
      <c r="E48" s="2"/>
      <c r="F48" s="81"/>
      <c r="G48" s="110"/>
      <c r="H48" s="2"/>
      <c r="I48" s="81"/>
      <c r="J48" s="110"/>
      <c r="K48" s="2"/>
      <c r="L48" s="81"/>
      <c r="M48" s="110"/>
      <c r="N48" s="2"/>
      <c r="O48" s="81"/>
      <c r="P48" s="110"/>
      <c r="Q48" s="2"/>
      <c r="R48" s="81"/>
      <c r="S48" s="110"/>
      <c r="T48" s="2"/>
      <c r="U48" s="81"/>
      <c r="V48" s="110"/>
      <c r="W48" s="2"/>
      <c r="X48" s="81"/>
      <c r="Y48" s="110"/>
      <c r="Z48" s="2"/>
      <c r="AA48" s="81"/>
      <c r="AB48" s="110"/>
      <c r="AC48" s="2"/>
      <c r="AD48" s="81"/>
      <c r="AE48" s="110"/>
      <c r="AF48" s="2"/>
      <c r="AG48" s="81"/>
      <c r="AH48" s="110"/>
      <c r="AI48" s="2"/>
      <c r="AJ48" s="81"/>
      <c r="AK48" s="110"/>
      <c r="AL48" s="2"/>
      <c r="AM48" s="81"/>
      <c r="AN48" s="110"/>
      <c r="AO48" s="2"/>
      <c r="AP48" s="81"/>
      <c r="AQ48" s="110"/>
      <c r="AR48" s="2"/>
      <c r="AS48" s="81"/>
      <c r="AT48" s="110"/>
      <c r="AU48" s="2"/>
      <c r="AV48" s="81"/>
      <c r="AW48" s="110"/>
      <c r="AX48" s="2"/>
      <c r="AY48" s="81"/>
      <c r="AZ48" s="110"/>
      <c r="BA48" s="2"/>
      <c r="BB48" s="81"/>
      <c r="BC48" s="110"/>
      <c r="BD48" s="2"/>
      <c r="BE48" s="81"/>
      <c r="BF48" s="110"/>
      <c r="BG48" s="2"/>
      <c r="BH48" s="81"/>
      <c r="BI48" s="110"/>
      <c r="BJ48" s="2"/>
      <c r="BK48" s="81"/>
      <c r="BL48" s="110"/>
      <c r="BM48" s="2"/>
      <c r="BN48" s="81"/>
      <c r="BO48" s="110"/>
      <c r="BP48" s="2"/>
      <c r="BQ48" s="81"/>
      <c r="BR48" s="110"/>
      <c r="BS48" s="2"/>
      <c r="BT48" s="81"/>
      <c r="BU48" s="110"/>
      <c r="BV48" s="2"/>
      <c r="BW48" s="81"/>
      <c r="BX48" s="110"/>
      <c r="BY48" s="2"/>
      <c r="BZ48" s="81"/>
      <c r="CA48" s="110"/>
      <c r="CB48" s="2"/>
      <c r="CC48" s="81"/>
      <c r="CD48" s="110"/>
      <c r="CE48" s="2"/>
      <c r="CF48" s="81"/>
      <c r="CG48" s="110"/>
      <c r="CH48" s="2"/>
      <c r="CI48" s="81"/>
      <c r="CJ48" s="110"/>
      <c r="CK48" s="2"/>
      <c r="CL48" s="81"/>
      <c r="CM48" s="110"/>
      <c r="CN48" s="2"/>
      <c r="CO48" s="81"/>
      <c r="CP48" s="1"/>
    </row>
    <row r="49" ht="9.75" customHeight="1">
      <c r="A49" s="1"/>
      <c r="B49" s="82"/>
      <c r="C49" s="93"/>
      <c r="D49" s="94"/>
      <c r="E49" s="2"/>
      <c r="F49" s="81"/>
      <c r="G49" s="110"/>
      <c r="H49" s="2"/>
      <c r="I49" s="81"/>
      <c r="J49" s="110"/>
      <c r="K49" s="2"/>
      <c r="L49" s="81"/>
      <c r="M49" s="110"/>
      <c r="N49" s="2"/>
      <c r="O49" s="81"/>
      <c r="P49" s="110"/>
      <c r="Q49" s="2"/>
      <c r="R49" s="81"/>
      <c r="S49" s="110"/>
      <c r="T49" s="2"/>
      <c r="U49" s="81"/>
      <c r="V49" s="110"/>
      <c r="W49" s="2"/>
      <c r="X49" s="81"/>
      <c r="Y49" s="110"/>
      <c r="Z49" s="2"/>
      <c r="AA49" s="81"/>
      <c r="AB49" s="110"/>
      <c r="AC49" s="2"/>
      <c r="AD49" s="81"/>
      <c r="AE49" s="110"/>
      <c r="AF49" s="2"/>
      <c r="AG49" s="81"/>
      <c r="AH49" s="110"/>
      <c r="AI49" s="2"/>
      <c r="AJ49" s="81"/>
      <c r="AK49" s="110"/>
      <c r="AL49" s="2"/>
      <c r="AM49" s="81"/>
      <c r="AN49" s="110"/>
      <c r="AO49" s="2"/>
      <c r="AP49" s="81"/>
      <c r="AQ49" s="110"/>
      <c r="AR49" s="2"/>
      <c r="AS49" s="81"/>
      <c r="AT49" s="110"/>
      <c r="AU49" s="2"/>
      <c r="AV49" s="81"/>
      <c r="AW49" s="110"/>
      <c r="AX49" s="2"/>
      <c r="AY49" s="81"/>
      <c r="AZ49" s="110"/>
      <c r="BA49" s="2"/>
      <c r="BB49" s="81"/>
      <c r="BC49" s="110"/>
      <c r="BD49" s="2"/>
      <c r="BE49" s="81"/>
      <c r="BF49" s="110"/>
      <c r="BG49" s="2"/>
      <c r="BH49" s="81"/>
      <c r="BI49" s="110"/>
      <c r="BJ49" s="2"/>
      <c r="BK49" s="81"/>
      <c r="BL49" s="110"/>
      <c r="BM49" s="2"/>
      <c r="BN49" s="81"/>
      <c r="BO49" s="110"/>
      <c r="BP49" s="2"/>
      <c r="BQ49" s="81"/>
      <c r="BR49" s="110"/>
      <c r="BS49" s="2"/>
      <c r="BT49" s="81"/>
      <c r="BU49" s="110"/>
      <c r="BV49" s="2"/>
      <c r="BW49" s="81"/>
      <c r="BX49" s="110"/>
      <c r="BY49" s="2"/>
      <c r="BZ49" s="81"/>
      <c r="CA49" s="110"/>
      <c r="CB49" s="2"/>
      <c r="CC49" s="81"/>
      <c r="CD49" s="110"/>
      <c r="CE49" s="2"/>
      <c r="CF49" s="81"/>
      <c r="CG49" s="110"/>
      <c r="CH49" s="2"/>
      <c r="CI49" s="81"/>
      <c r="CJ49" s="110"/>
      <c r="CK49" s="2"/>
      <c r="CL49" s="81"/>
      <c r="CM49" s="110"/>
      <c r="CN49" s="2"/>
      <c r="CO49" s="81"/>
      <c r="CP49" s="1"/>
    </row>
    <row r="50" ht="13.5" customHeight="1">
      <c r="A50" s="1"/>
      <c r="B50" s="82" t="s">
        <v>102</v>
      </c>
      <c r="C50" s="111" t="s">
        <v>51</v>
      </c>
      <c r="D50" s="112">
        <f>4/36*D$17</f>
        <v>344185.1852</v>
      </c>
      <c r="E50" s="32" t="s">
        <v>99</v>
      </c>
      <c r="F50" s="86">
        <f>D50/D$8</f>
        <v>0.02812832242</v>
      </c>
      <c r="G50" s="94">
        <f>D50*(1+H50)</f>
        <v>368278.1481</v>
      </c>
      <c r="H50" s="113">
        <v>0.07</v>
      </c>
      <c r="I50" s="86">
        <f>G50/G$8</f>
        <v>0.02871564508</v>
      </c>
      <c r="J50" s="94">
        <f>G50*(1+K50)</f>
        <v>394057.6185</v>
      </c>
      <c r="K50" s="19">
        <f>H50</f>
        <v>0.07</v>
      </c>
      <c r="L50" s="86">
        <f>J50/J$8</f>
        <v>0.0291646093</v>
      </c>
      <c r="M50" s="94">
        <f>J50*(1+N50)</f>
        <v>421641.6518</v>
      </c>
      <c r="N50" s="19">
        <f>K50</f>
        <v>0.07</v>
      </c>
      <c r="O50" s="86">
        <f>M50/M$8</f>
        <v>0.02971295246</v>
      </c>
      <c r="P50" s="94">
        <f>M50*(1+Q50)</f>
        <v>451156.5674</v>
      </c>
      <c r="Q50" s="19">
        <f>N50</f>
        <v>0.07</v>
      </c>
      <c r="R50" s="86">
        <f>P50/P$8</f>
        <v>0.03034107182</v>
      </c>
      <c r="S50" s="94">
        <f>P50*(1+T50)</f>
        <v>482737.5272</v>
      </c>
      <c r="T50" s="19">
        <f>Q50</f>
        <v>0.07</v>
      </c>
      <c r="U50" s="86">
        <f>S50/S$8</f>
        <v>0.03119971092</v>
      </c>
      <c r="V50" s="94">
        <f>S50*(1+W50)</f>
        <v>516529.1541</v>
      </c>
      <c r="W50" s="19">
        <f>T50</f>
        <v>0.07</v>
      </c>
      <c r="X50" s="86">
        <f>V50/V$8</f>
        <v>0.03198025905</v>
      </c>
      <c r="Y50" s="94">
        <f>V50*(1+Z50)</f>
        <v>552686.1948</v>
      </c>
      <c r="Z50" s="19">
        <f>W50</f>
        <v>0.07</v>
      </c>
      <c r="AA50" s="86">
        <f>Y50/Y$8</f>
        <v>0.03269075177</v>
      </c>
      <c r="AB50" s="94">
        <f>Y50*(1+AC50)</f>
        <v>591374.2285</v>
      </c>
      <c r="AC50" s="19">
        <f>Z50</f>
        <v>0.07</v>
      </c>
      <c r="AD50" s="86">
        <f>AB50/AB$8</f>
        <v>0.03346012383</v>
      </c>
      <c r="AE50" s="94">
        <f>AB50*(1+AF50)</f>
        <v>632770.4245</v>
      </c>
      <c r="AF50" s="19">
        <f>AC50</f>
        <v>0.07</v>
      </c>
      <c r="AG50" s="86">
        <f>AE50/AE$8</f>
        <v>0.03431975184</v>
      </c>
      <c r="AH50" s="94">
        <f>AE50*(1+AI50)</f>
        <v>677064.3542</v>
      </c>
      <c r="AI50" s="19">
        <f>AF50</f>
        <v>0.07</v>
      </c>
      <c r="AJ50" s="86">
        <f>AH50/AH$8</f>
        <v>0.03495517975</v>
      </c>
      <c r="AK50" s="94">
        <f>AH50*(1+AL50)</f>
        <v>724458.859</v>
      </c>
      <c r="AL50" s="19">
        <f>AI50</f>
        <v>0.07</v>
      </c>
      <c r="AM50" s="86">
        <f>AK50/AK$8</f>
        <v>0.03569202409</v>
      </c>
      <c r="AN50" s="94">
        <f>AK50*(1+AO50)</f>
        <v>775170.9791</v>
      </c>
      <c r="AO50" s="19">
        <f>AL50</f>
        <v>0.07</v>
      </c>
      <c r="AP50" s="86">
        <f>AN50/AN$8</f>
        <v>0.03664504593</v>
      </c>
      <c r="AQ50" s="94">
        <f>AN50*(1+AR50)</f>
        <v>829432.9477</v>
      </c>
      <c r="AR50" s="19">
        <f>AO50</f>
        <v>0.07</v>
      </c>
      <c r="AS50" s="86">
        <f>AQ50/AQ$8</f>
        <v>0.0375623462</v>
      </c>
      <c r="AT50" s="94">
        <f>AQ50*(1+AU50)</f>
        <v>887493.254</v>
      </c>
      <c r="AU50" s="19">
        <f>AR50</f>
        <v>0.07</v>
      </c>
      <c r="AV50" s="86">
        <f>AT50/AT$8</f>
        <v>0.03842294805</v>
      </c>
      <c r="AW50" s="94">
        <f>AT50*(1+AX50)</f>
        <v>949617.7818</v>
      </c>
      <c r="AX50" s="19">
        <f>AU50</f>
        <v>0.07</v>
      </c>
      <c r="AY50" s="86">
        <f>AW50/AW$8</f>
        <v>0.03937300337</v>
      </c>
      <c r="AZ50" s="94">
        <f>AW50*(1+BA50)</f>
        <v>1016091.026</v>
      </c>
      <c r="BA50" s="19">
        <f>AX50</f>
        <v>0.07</v>
      </c>
      <c r="BB50" s="86">
        <f>AZ50/AZ$8</f>
        <v>0.04028350651</v>
      </c>
      <c r="BC50" s="94">
        <f>AZ50*(1+BD50)</f>
        <v>1087217.398</v>
      </c>
      <c r="BD50" s="19">
        <f>BA50</f>
        <v>0.07</v>
      </c>
      <c r="BE50" s="86">
        <f>BC50/BC$8</f>
        <v>0.04117545867</v>
      </c>
      <c r="BF50" s="94">
        <f>BC50*(1+BG50)</f>
        <v>1163322.616</v>
      </c>
      <c r="BG50" s="19">
        <f>BD50</f>
        <v>0.07</v>
      </c>
      <c r="BH50" s="86">
        <f>BF50/BF$8</f>
        <v>0.04202375567</v>
      </c>
      <c r="BI50" s="94">
        <f>BF50*(1+BJ50)</f>
        <v>1244755.199</v>
      </c>
      <c r="BJ50" s="19">
        <f>BG50</f>
        <v>0.07</v>
      </c>
      <c r="BK50" s="86">
        <f>BI50/BI$8</f>
        <v>0.04299375516</v>
      </c>
      <c r="BL50" s="94">
        <f>BI50*(1+BM50)</f>
        <v>1331888.063</v>
      </c>
      <c r="BM50" s="19">
        <f>BJ50</f>
        <v>0.07</v>
      </c>
      <c r="BN50" s="86">
        <f>BL50/BL$8</f>
        <v>0.04394219938</v>
      </c>
      <c r="BO50" s="94">
        <f>BL50*(1+BP50)</f>
        <v>1425120.228</v>
      </c>
      <c r="BP50" s="19">
        <f>BM50</f>
        <v>0.07</v>
      </c>
      <c r="BQ50" s="86">
        <f>BO50/BO$8</f>
        <v>0.04477497299</v>
      </c>
      <c r="BR50" s="94">
        <f>BO50*(1+BS50)</f>
        <v>1524878.644</v>
      </c>
      <c r="BS50" s="19">
        <f>BP50</f>
        <v>0.07</v>
      </c>
      <c r="BT50" s="86">
        <f>BR50/BR$8</f>
        <v>0.04583206527</v>
      </c>
      <c r="BU50" s="94">
        <f>BR50*(1+BV50)</f>
        <v>1631620.149</v>
      </c>
      <c r="BV50" s="19">
        <f>BS50</f>
        <v>0.07</v>
      </c>
      <c r="BW50" s="86">
        <f>BU50/BU$8</f>
        <v>0.04678078298</v>
      </c>
      <c r="BX50" s="94">
        <f>BU50*(1+BY50)</f>
        <v>1745833.559</v>
      </c>
      <c r="BY50" s="19">
        <f>BV50</f>
        <v>0.07</v>
      </c>
      <c r="BZ50" s="86">
        <f>BX50/BX$8</f>
        <v>0.04773493265</v>
      </c>
      <c r="CA50" s="94">
        <f>BX50*(1+CB50)</f>
        <v>1868041.908</v>
      </c>
      <c r="CB50" s="19">
        <f>BY50</f>
        <v>0.07</v>
      </c>
      <c r="CC50" s="86">
        <f>CA50/CA$8</f>
        <v>0.04881344975</v>
      </c>
      <c r="CD50" s="94">
        <f>CA50*(1+CE50)</f>
        <v>1998804.842</v>
      </c>
      <c r="CE50" s="19">
        <f>CB50</f>
        <v>0.07</v>
      </c>
      <c r="CF50" s="86">
        <f>CD50/CD$8</f>
        <v>0.04990898254</v>
      </c>
      <c r="CG50" s="94">
        <f>CD50*(1+CH50)</f>
        <v>2138721.181</v>
      </c>
      <c r="CH50" s="19">
        <f>CE50</f>
        <v>0.07</v>
      </c>
      <c r="CI50" s="86">
        <f>CG50/CG$8</f>
        <v>0.05092981487</v>
      </c>
      <c r="CJ50" s="94">
        <f>CG50*(1+CK50)</f>
        <v>2288431.663</v>
      </c>
      <c r="CK50" s="19">
        <f>CH50</f>
        <v>0.07</v>
      </c>
      <c r="CL50" s="86">
        <f>CJ50/CJ$8</f>
        <v>0.05206838747</v>
      </c>
      <c r="CM50" s="94">
        <f>CJ50*(1+CN50)</f>
        <v>2448621.88</v>
      </c>
      <c r="CN50" s="19">
        <f>CK50</f>
        <v>0.07</v>
      </c>
      <c r="CO50" s="86">
        <f>CM50/CM$8</f>
        <v>0.05316214635</v>
      </c>
      <c r="CP50" s="1"/>
    </row>
    <row r="51" ht="13.5" customHeight="1">
      <c r="A51" s="1"/>
      <c r="B51" s="82"/>
      <c r="C51" s="34"/>
      <c r="D51" s="94"/>
      <c r="E51" s="114"/>
      <c r="F51" s="115"/>
      <c r="G51" s="94"/>
      <c r="H51" s="32"/>
      <c r="I51" s="115"/>
      <c r="J51" s="94"/>
      <c r="K51" s="32"/>
      <c r="L51" s="115"/>
      <c r="M51" s="94"/>
      <c r="N51" s="32"/>
      <c r="O51" s="115"/>
      <c r="P51" s="94"/>
      <c r="Q51" s="32"/>
      <c r="R51" s="115"/>
      <c r="S51" s="94"/>
      <c r="T51" s="32"/>
      <c r="U51" s="115"/>
      <c r="V51" s="94"/>
      <c r="W51" s="32"/>
      <c r="X51" s="115"/>
      <c r="Y51" s="94"/>
      <c r="Z51" s="32"/>
      <c r="AA51" s="115"/>
      <c r="AB51" s="94"/>
      <c r="AC51" s="32"/>
      <c r="AD51" s="115"/>
      <c r="AE51" s="94"/>
      <c r="AF51" s="32"/>
      <c r="AG51" s="115"/>
      <c r="AH51" s="94"/>
      <c r="AI51" s="32"/>
      <c r="AJ51" s="115"/>
      <c r="AK51" s="94"/>
      <c r="AL51" s="32"/>
      <c r="AM51" s="115"/>
      <c r="AN51" s="94"/>
      <c r="AO51" s="32"/>
      <c r="AP51" s="115"/>
      <c r="AQ51" s="94"/>
      <c r="AR51" s="32"/>
      <c r="AS51" s="115"/>
      <c r="AT51" s="94"/>
      <c r="AU51" s="32"/>
      <c r="AV51" s="115"/>
      <c r="AW51" s="94"/>
      <c r="AX51" s="32"/>
      <c r="AY51" s="115"/>
      <c r="AZ51" s="94"/>
      <c r="BA51" s="32"/>
      <c r="BB51" s="115"/>
      <c r="BC51" s="94"/>
      <c r="BD51" s="32"/>
      <c r="BE51" s="115"/>
      <c r="BF51" s="94"/>
      <c r="BG51" s="32"/>
      <c r="BH51" s="115"/>
      <c r="BI51" s="94"/>
      <c r="BJ51" s="32"/>
      <c r="BK51" s="115"/>
      <c r="BL51" s="94"/>
      <c r="BM51" s="32"/>
      <c r="BN51" s="115"/>
      <c r="BO51" s="94"/>
      <c r="BP51" s="32"/>
      <c r="BQ51" s="115"/>
      <c r="BR51" s="94"/>
      <c r="BS51" s="32"/>
      <c r="BT51" s="115"/>
      <c r="BU51" s="94"/>
      <c r="BV51" s="32"/>
      <c r="BW51" s="115"/>
      <c r="BX51" s="94"/>
      <c r="BY51" s="32"/>
      <c r="BZ51" s="115"/>
      <c r="CA51" s="94"/>
      <c r="CB51" s="32"/>
      <c r="CC51" s="115"/>
      <c r="CD51" s="94"/>
      <c r="CE51" s="32"/>
      <c r="CF51" s="115"/>
      <c r="CG51" s="94"/>
      <c r="CH51" s="32"/>
      <c r="CI51" s="115"/>
      <c r="CJ51" s="94"/>
      <c r="CK51" s="32"/>
      <c r="CL51" s="115"/>
      <c r="CM51" s="94"/>
      <c r="CN51" s="32"/>
      <c r="CO51" s="115"/>
      <c r="CP51" s="1"/>
    </row>
    <row r="52" ht="9.75" customHeight="1">
      <c r="A52" s="1"/>
      <c r="B52" s="82"/>
      <c r="C52" s="93"/>
      <c r="D52" s="94"/>
      <c r="E52" s="2"/>
      <c r="F52" s="81"/>
      <c r="G52" s="110"/>
      <c r="H52" s="2"/>
      <c r="I52" s="81"/>
      <c r="J52" s="110"/>
      <c r="K52" s="2"/>
      <c r="L52" s="81"/>
      <c r="M52" s="110"/>
      <c r="N52" s="2"/>
      <c r="O52" s="81"/>
      <c r="P52" s="110"/>
      <c r="Q52" s="2"/>
      <c r="R52" s="81"/>
      <c r="S52" s="110"/>
      <c r="T52" s="2"/>
      <c r="U52" s="81"/>
      <c r="V52" s="110"/>
      <c r="W52" s="2"/>
      <c r="X52" s="81"/>
      <c r="Y52" s="110"/>
      <c r="Z52" s="2"/>
      <c r="AA52" s="81"/>
      <c r="AB52" s="110"/>
      <c r="AC52" s="2"/>
      <c r="AD52" s="81"/>
      <c r="AE52" s="110"/>
      <c r="AF52" s="2"/>
      <c r="AG52" s="81"/>
      <c r="AH52" s="110"/>
      <c r="AI52" s="2"/>
      <c r="AJ52" s="81"/>
      <c r="AK52" s="110"/>
      <c r="AL52" s="2"/>
      <c r="AM52" s="81"/>
      <c r="AN52" s="110"/>
      <c r="AO52" s="2"/>
      <c r="AP52" s="81"/>
      <c r="AQ52" s="110"/>
      <c r="AR52" s="2"/>
      <c r="AS52" s="81"/>
      <c r="AT52" s="110"/>
      <c r="AU52" s="2"/>
      <c r="AV52" s="81"/>
      <c r="AW52" s="110"/>
      <c r="AX52" s="2"/>
      <c r="AY52" s="81"/>
      <c r="AZ52" s="110"/>
      <c r="BA52" s="2"/>
      <c r="BB52" s="81"/>
      <c r="BC52" s="110"/>
      <c r="BD52" s="2"/>
      <c r="BE52" s="81"/>
      <c r="BF52" s="110"/>
      <c r="BG52" s="2"/>
      <c r="BH52" s="81"/>
      <c r="BI52" s="110"/>
      <c r="BJ52" s="2"/>
      <c r="BK52" s="81"/>
      <c r="BL52" s="110"/>
      <c r="BM52" s="2"/>
      <c r="BN52" s="81"/>
      <c r="BO52" s="110"/>
      <c r="BP52" s="2"/>
      <c r="BQ52" s="81"/>
      <c r="BR52" s="110"/>
      <c r="BS52" s="2"/>
      <c r="BT52" s="81"/>
      <c r="BU52" s="110"/>
      <c r="BV52" s="2"/>
      <c r="BW52" s="81"/>
      <c r="BX52" s="110"/>
      <c r="BY52" s="2"/>
      <c r="BZ52" s="81"/>
      <c r="CA52" s="110"/>
      <c r="CB52" s="2"/>
      <c r="CC52" s="81"/>
      <c r="CD52" s="110"/>
      <c r="CE52" s="2"/>
      <c r="CF52" s="81"/>
      <c r="CG52" s="110"/>
      <c r="CH52" s="2"/>
      <c r="CI52" s="81"/>
      <c r="CJ52" s="110"/>
      <c r="CK52" s="2"/>
      <c r="CL52" s="81"/>
      <c r="CM52" s="110"/>
      <c r="CN52" s="2"/>
      <c r="CO52" s="81"/>
      <c r="CP52" s="1"/>
    </row>
    <row r="53" ht="13.5" customHeight="1">
      <c r="A53" s="1"/>
      <c r="B53" s="82" t="s">
        <v>108</v>
      </c>
      <c r="C53" s="111" t="s">
        <v>52</v>
      </c>
      <c r="D53" s="112">
        <f>1/36*D$17</f>
        <v>86046.2963</v>
      </c>
      <c r="E53" s="32" t="s">
        <v>99</v>
      </c>
      <c r="F53" s="86">
        <f>D53/D$8</f>
        <v>0.007032080604</v>
      </c>
      <c r="G53" s="94">
        <f>D53*(1+H53)</f>
        <v>88627.68519</v>
      </c>
      <c r="H53" s="113">
        <v>0.03</v>
      </c>
      <c r="I53" s="86">
        <f>G53/G$8</f>
        <v>0.006910540755</v>
      </c>
      <c r="J53" s="94">
        <f>G53*(1+K53)</f>
        <v>91286.51574</v>
      </c>
      <c r="K53" s="19">
        <f>H53</f>
        <v>0.03</v>
      </c>
      <c r="L53" s="86">
        <f>J53/J$8</f>
        <v>0.00675620884</v>
      </c>
      <c r="M53" s="94">
        <f>J53*(1+N53)</f>
        <v>94025.11121</v>
      </c>
      <c r="N53" s="19">
        <f>K53</f>
        <v>0.03</v>
      </c>
      <c r="O53" s="86">
        <f>M53/M$8</f>
        <v>0.006625919539</v>
      </c>
      <c r="P53" s="94">
        <f>M53*(1+Q53)</f>
        <v>96845.86455</v>
      </c>
      <c r="Q53" s="19">
        <f>N53</f>
        <v>0.03</v>
      </c>
      <c r="R53" s="86">
        <f>P53/P$8</f>
        <v>0.006513054544</v>
      </c>
      <c r="S53" s="94">
        <f>P53*(1+T53)</f>
        <v>99751.24049</v>
      </c>
      <c r="T53" s="19">
        <f>Q53</f>
        <v>0.03</v>
      </c>
      <c r="U53" s="86">
        <f>S53/S$8</f>
        <v>0.006447002132</v>
      </c>
      <c r="V53" s="94">
        <f>S53*(1+W53)</f>
        <v>102743.7777</v>
      </c>
      <c r="W53" s="19">
        <f>T53</f>
        <v>0.03</v>
      </c>
      <c r="X53" s="86">
        <f>V53/V$8</f>
        <v>0.006361252992</v>
      </c>
      <c r="Y53" s="94">
        <f>V53*(1+Z53)</f>
        <v>105826.091</v>
      </c>
      <c r="Z53" s="19">
        <f>W53</f>
        <v>0.03</v>
      </c>
      <c r="AA53" s="86">
        <f>Y53/Y$8</f>
        <v>0.006259491381</v>
      </c>
      <c r="AB53" s="94">
        <f>Y53*(1+AC53)</f>
        <v>109000.8738</v>
      </c>
      <c r="AC53" s="19">
        <f>Z53</f>
        <v>0.03</v>
      </c>
      <c r="AD53" s="86">
        <f>AB53/AB$8</f>
        <v>0.006167300767</v>
      </c>
      <c r="AE53" s="94">
        <f>AB53*(1+AF53)</f>
        <v>112270.9</v>
      </c>
      <c r="AF53" s="19">
        <f>AC53</f>
        <v>0.03</v>
      </c>
      <c r="AG53" s="86">
        <f>AE53/AE$8</f>
        <v>0.006089269151</v>
      </c>
      <c r="AH53" s="94">
        <f>AE53*(1+AI53)</f>
        <v>115639.027</v>
      </c>
      <c r="AI53" s="19">
        <f>AF53</f>
        <v>0.03</v>
      </c>
      <c r="AJ53" s="86">
        <f>AH53/AH$8</f>
        <v>0.005970160664</v>
      </c>
      <c r="AK53" s="94">
        <f>AH53*(1+AL53)</f>
        <v>119108.1978</v>
      </c>
      <c r="AL53" s="19">
        <f>AI53</f>
        <v>0.03</v>
      </c>
      <c r="AM53" s="86">
        <f>AK53/AK$8</f>
        <v>0.005868121581</v>
      </c>
      <c r="AN53" s="94">
        <f>AK53*(1+AO53)</f>
        <v>122681.4437</v>
      </c>
      <c r="AO53" s="19">
        <f>AL53</f>
        <v>0.03</v>
      </c>
      <c r="AP53" s="86">
        <f>AN53/AN$8</f>
        <v>0.005799581333</v>
      </c>
      <c r="AQ53" s="94">
        <f>AN53*(1+AR53)</f>
        <v>126361.887</v>
      </c>
      <c r="AR53" s="19">
        <f>AO53</f>
        <v>0.03</v>
      </c>
      <c r="AS53" s="86">
        <f>AQ53/AQ$8</f>
        <v>0.005722522792</v>
      </c>
      <c r="AT53" s="94">
        <f>AQ53*(1+AU53)</f>
        <v>130152.7436</v>
      </c>
      <c r="AU53" s="19">
        <f>AR53</f>
        <v>0.03</v>
      </c>
      <c r="AV53" s="86">
        <f>AT53/AT$8</f>
        <v>0.005634805768</v>
      </c>
      <c r="AW53" s="94">
        <f>AT53*(1+AX53)</f>
        <v>134057.3259</v>
      </c>
      <c r="AX53" s="19">
        <f>AU53</f>
        <v>0.03</v>
      </c>
      <c r="AY53" s="86">
        <f>AW53/AW$8</f>
        <v>0.005558277917</v>
      </c>
      <c r="AZ53" s="94">
        <f>AW53*(1+BA53)</f>
        <v>138079.0457</v>
      </c>
      <c r="BA53" s="19">
        <f>AX53</f>
        <v>0.03</v>
      </c>
      <c r="BB53" s="86">
        <f>AZ53/AZ$8</f>
        <v>0.005474222282</v>
      </c>
      <c r="BC53" s="94">
        <f>AZ53*(1+BD53)</f>
        <v>142221.4171</v>
      </c>
      <c r="BD53" s="19">
        <f>BA53</f>
        <v>0.03</v>
      </c>
      <c r="BE53" s="86">
        <f>BC53/BC$8</f>
        <v>0.005386256778</v>
      </c>
      <c r="BF53" s="94">
        <f>BC53*(1+BG53)</f>
        <v>146488.0596</v>
      </c>
      <c r="BG53" s="19">
        <f>BD53</f>
        <v>0.03</v>
      </c>
      <c r="BH53" s="86">
        <f>BF53/BF$8</f>
        <v>0.005291720748</v>
      </c>
      <c r="BI53" s="94">
        <f>BF53*(1+BJ53)</f>
        <v>150882.7014</v>
      </c>
      <c r="BJ53" s="19">
        <f>BG53</f>
        <v>0.03</v>
      </c>
      <c r="BK53" s="86">
        <f>BI53/BI$8</f>
        <v>0.005211477666</v>
      </c>
      <c r="BL53" s="94">
        <f>BI53*(1+BM53)</f>
        <v>155409.1824</v>
      </c>
      <c r="BM53" s="19">
        <f>BJ53</f>
        <v>0.03</v>
      </c>
      <c r="BN53" s="86">
        <f>BL53/BL$8</f>
        <v>0.005127323736</v>
      </c>
      <c r="BO53" s="94">
        <f>BL53*(1+BP53)</f>
        <v>160071.4579</v>
      </c>
      <c r="BP53" s="19">
        <f>BM53</f>
        <v>0.03</v>
      </c>
      <c r="BQ53" s="86">
        <f>BO53/BO$8</f>
        <v>0.005029186355</v>
      </c>
      <c r="BR53" s="94">
        <f>BO53*(1+BS53)</f>
        <v>164873.6017</v>
      </c>
      <c r="BS53" s="19">
        <f>BP53</f>
        <v>0.03</v>
      </c>
      <c r="BT53" s="86">
        <f>BR53/BR$8</f>
        <v>0.004955474787</v>
      </c>
      <c r="BU53" s="94">
        <f>BR53*(1+BV53)</f>
        <v>169819.8097</v>
      </c>
      <c r="BV53" s="19">
        <f>BS53</f>
        <v>0.03</v>
      </c>
      <c r="BW53" s="86">
        <f>BU53/BU$8</f>
        <v>0.004868966389</v>
      </c>
      <c r="BX53" s="94">
        <f>BU53*(1+BY53)</f>
        <v>174914.404</v>
      </c>
      <c r="BY53" s="19">
        <f>BV53</f>
        <v>0.03</v>
      </c>
      <c r="BZ53" s="86">
        <f>BX53/BX$8</f>
        <v>0.004782544848</v>
      </c>
      <c r="CA53" s="94">
        <f>BX53*(1+CB53)</f>
        <v>180161.8361</v>
      </c>
      <c r="CB53" s="19">
        <f>BY53</f>
        <v>0.03</v>
      </c>
      <c r="CC53" s="86">
        <f>CA53/CA$8</f>
        <v>0.00470777486</v>
      </c>
      <c r="CD53" s="94">
        <f>CA53*(1+CE53)</f>
        <v>185566.6912</v>
      </c>
      <c r="CE53" s="19">
        <f>CB53</f>
        <v>0.03</v>
      </c>
      <c r="CF53" s="86">
        <f>CD53/CD$8</f>
        <v>0.004633491253</v>
      </c>
      <c r="CG53" s="94">
        <f>CD53*(1+CH53)</f>
        <v>191133.6919</v>
      </c>
      <c r="CH53" s="19">
        <f>CE53</f>
        <v>0.03</v>
      </c>
      <c r="CI53" s="86">
        <f>CG53/CG$8</f>
        <v>0.004551506589</v>
      </c>
      <c r="CJ53" s="94">
        <f>CG53*(1+CK53)</f>
        <v>196867.7027</v>
      </c>
      <c r="CK53" s="19">
        <f>CH53</f>
        <v>0.03</v>
      </c>
      <c r="CL53" s="86">
        <f>CJ53/CJ$8</f>
        <v>0.004479305189</v>
      </c>
      <c r="CM53" s="94">
        <f>CJ53*(1+CN53)</f>
        <v>202773.7338</v>
      </c>
      <c r="CN53" s="19">
        <f>CK53</f>
        <v>0.03</v>
      </c>
      <c r="CO53" s="86">
        <f>CM53/CM$8</f>
        <v>0.004402430199</v>
      </c>
      <c r="CP53" s="1"/>
    </row>
    <row r="54" ht="13.5" customHeight="1">
      <c r="A54" s="1"/>
      <c r="B54" s="82"/>
      <c r="C54" s="34"/>
      <c r="D54" s="94"/>
      <c r="E54" s="114"/>
      <c r="F54" s="115"/>
      <c r="G54" s="110"/>
      <c r="H54" s="2"/>
      <c r="I54" s="115"/>
      <c r="J54" s="110"/>
      <c r="K54" s="2"/>
      <c r="L54" s="115"/>
      <c r="M54" s="110"/>
      <c r="N54" s="2"/>
      <c r="O54" s="115"/>
      <c r="P54" s="110"/>
      <c r="Q54" s="2"/>
      <c r="R54" s="115"/>
      <c r="S54" s="110"/>
      <c r="T54" s="2"/>
      <c r="U54" s="115"/>
      <c r="V54" s="110"/>
      <c r="W54" s="2"/>
      <c r="X54" s="115"/>
      <c r="Y54" s="110"/>
      <c r="Z54" s="2"/>
      <c r="AA54" s="115"/>
      <c r="AB54" s="110"/>
      <c r="AC54" s="2"/>
      <c r="AD54" s="115"/>
      <c r="AE54" s="110"/>
      <c r="AF54" s="2"/>
      <c r="AG54" s="115"/>
      <c r="AH54" s="110"/>
      <c r="AI54" s="2"/>
      <c r="AJ54" s="115"/>
      <c r="AK54" s="110"/>
      <c r="AL54" s="2"/>
      <c r="AM54" s="115"/>
      <c r="AN54" s="110"/>
      <c r="AO54" s="2"/>
      <c r="AP54" s="115"/>
      <c r="AQ54" s="110"/>
      <c r="AR54" s="2"/>
      <c r="AS54" s="115"/>
      <c r="AT54" s="110"/>
      <c r="AU54" s="2"/>
      <c r="AV54" s="115"/>
      <c r="AW54" s="110"/>
      <c r="AX54" s="2"/>
      <c r="AY54" s="115"/>
      <c r="AZ54" s="110"/>
      <c r="BA54" s="2"/>
      <c r="BB54" s="115"/>
      <c r="BC54" s="110"/>
      <c r="BD54" s="2"/>
      <c r="BE54" s="115"/>
      <c r="BF54" s="110"/>
      <c r="BG54" s="2"/>
      <c r="BH54" s="115"/>
      <c r="BI54" s="110"/>
      <c r="BJ54" s="2"/>
      <c r="BK54" s="115"/>
      <c r="BL54" s="110"/>
      <c r="BM54" s="2"/>
      <c r="BN54" s="115"/>
      <c r="BO54" s="110"/>
      <c r="BP54" s="2"/>
      <c r="BQ54" s="115"/>
      <c r="BR54" s="110"/>
      <c r="BS54" s="2"/>
      <c r="BT54" s="115"/>
      <c r="BU54" s="110"/>
      <c r="BV54" s="2"/>
      <c r="BW54" s="115"/>
      <c r="BX54" s="110"/>
      <c r="BY54" s="2"/>
      <c r="BZ54" s="115"/>
      <c r="CA54" s="110"/>
      <c r="CB54" s="2"/>
      <c r="CC54" s="115"/>
      <c r="CD54" s="110"/>
      <c r="CE54" s="2"/>
      <c r="CF54" s="115"/>
      <c r="CG54" s="110"/>
      <c r="CH54" s="2"/>
      <c r="CI54" s="115"/>
      <c r="CJ54" s="110"/>
      <c r="CK54" s="2"/>
      <c r="CL54" s="115"/>
      <c r="CM54" s="110"/>
      <c r="CN54" s="2"/>
      <c r="CO54" s="115"/>
      <c r="CP54" s="1"/>
    </row>
    <row r="55" ht="9.75" customHeight="1">
      <c r="A55" s="1"/>
      <c r="B55" s="82"/>
      <c r="C55" s="111"/>
      <c r="D55" s="94"/>
      <c r="E55" s="2"/>
      <c r="F55" s="81"/>
      <c r="G55" s="110"/>
      <c r="H55" s="2"/>
      <c r="I55" s="81"/>
      <c r="J55" s="110"/>
      <c r="K55" s="2"/>
      <c r="L55" s="81"/>
      <c r="M55" s="110"/>
      <c r="N55" s="2"/>
      <c r="O55" s="81"/>
      <c r="P55" s="110"/>
      <c r="Q55" s="2"/>
      <c r="R55" s="81"/>
      <c r="S55" s="110"/>
      <c r="T55" s="2"/>
      <c r="U55" s="81"/>
      <c r="V55" s="110"/>
      <c r="W55" s="2"/>
      <c r="X55" s="81"/>
      <c r="Y55" s="110"/>
      <c r="Z55" s="2"/>
      <c r="AA55" s="81"/>
      <c r="AB55" s="110"/>
      <c r="AC55" s="2"/>
      <c r="AD55" s="81"/>
      <c r="AE55" s="110"/>
      <c r="AF55" s="2"/>
      <c r="AG55" s="81"/>
      <c r="AH55" s="110"/>
      <c r="AI55" s="2"/>
      <c r="AJ55" s="81"/>
      <c r="AK55" s="110"/>
      <c r="AL55" s="2"/>
      <c r="AM55" s="81"/>
      <c r="AN55" s="110"/>
      <c r="AO55" s="2"/>
      <c r="AP55" s="81"/>
      <c r="AQ55" s="110"/>
      <c r="AR55" s="2"/>
      <c r="AS55" s="81"/>
      <c r="AT55" s="110"/>
      <c r="AU55" s="2"/>
      <c r="AV55" s="81"/>
      <c r="AW55" s="110"/>
      <c r="AX55" s="2"/>
      <c r="AY55" s="81"/>
      <c r="AZ55" s="110"/>
      <c r="BA55" s="2"/>
      <c r="BB55" s="81"/>
      <c r="BC55" s="110"/>
      <c r="BD55" s="2"/>
      <c r="BE55" s="81"/>
      <c r="BF55" s="110"/>
      <c r="BG55" s="2"/>
      <c r="BH55" s="81"/>
      <c r="BI55" s="110"/>
      <c r="BJ55" s="2"/>
      <c r="BK55" s="81"/>
      <c r="BL55" s="110"/>
      <c r="BM55" s="2"/>
      <c r="BN55" s="81"/>
      <c r="BO55" s="110"/>
      <c r="BP55" s="2"/>
      <c r="BQ55" s="81"/>
      <c r="BR55" s="110"/>
      <c r="BS55" s="2"/>
      <c r="BT55" s="81"/>
      <c r="BU55" s="110"/>
      <c r="BV55" s="2"/>
      <c r="BW55" s="81"/>
      <c r="BX55" s="110"/>
      <c r="BY55" s="2"/>
      <c r="BZ55" s="81"/>
      <c r="CA55" s="110"/>
      <c r="CB55" s="2"/>
      <c r="CC55" s="81"/>
      <c r="CD55" s="110"/>
      <c r="CE55" s="2"/>
      <c r="CF55" s="81"/>
      <c r="CG55" s="110"/>
      <c r="CH55" s="2"/>
      <c r="CI55" s="81"/>
      <c r="CJ55" s="110"/>
      <c r="CK55" s="2"/>
      <c r="CL55" s="81"/>
      <c r="CM55" s="110"/>
      <c r="CN55" s="2"/>
      <c r="CO55" s="81"/>
      <c r="CP55" s="1"/>
    </row>
    <row r="56" ht="13.5" customHeight="1">
      <c r="A56" s="1"/>
      <c r="B56" s="82" t="s">
        <v>120</v>
      </c>
      <c r="C56" s="111" t="s">
        <v>53</v>
      </c>
      <c r="D56" s="112">
        <f>1/36*D$17</f>
        <v>86046.2963</v>
      </c>
      <c r="E56" s="2"/>
      <c r="F56" s="86">
        <f>D56/D$8</f>
        <v>0.007032080604</v>
      </c>
      <c r="G56" s="94">
        <f>D56*(1+H56)</f>
        <v>92069.53704</v>
      </c>
      <c r="H56" s="113">
        <v>0.07</v>
      </c>
      <c r="I56" s="86">
        <f>G56/G$8</f>
        <v>0.00717891127</v>
      </c>
      <c r="J56" s="94">
        <f>G56*(1+K56)</f>
        <v>98514.40463</v>
      </c>
      <c r="K56" s="19">
        <f>H56</f>
        <v>0.07</v>
      </c>
      <c r="L56" s="86">
        <f>J56/J$8</f>
        <v>0.007291152324</v>
      </c>
      <c r="M56" s="94">
        <f>J56*(1+N56)</f>
        <v>105410.413</v>
      </c>
      <c r="N56" s="19">
        <f>K56</f>
        <v>0.07</v>
      </c>
      <c r="O56" s="86">
        <f>M56/M$8</f>
        <v>0.007428238114</v>
      </c>
      <c r="P56" s="94">
        <f>M56*(1+Q56)</f>
        <v>112789.1419</v>
      </c>
      <c r="Q56" s="19">
        <f>N56</f>
        <v>0.07</v>
      </c>
      <c r="R56" s="86">
        <f>P56/P$8</f>
        <v>0.007585267955</v>
      </c>
      <c r="S56" s="94">
        <f>P56*(1+T56)</f>
        <v>120684.3818</v>
      </c>
      <c r="T56" s="19">
        <f>Q56</f>
        <v>0.07</v>
      </c>
      <c r="U56" s="86">
        <f>S56/S$8</f>
        <v>0.007799927729</v>
      </c>
      <c r="V56" s="94">
        <f>S56*(1+W56)</f>
        <v>129132.2885</v>
      </c>
      <c r="W56" s="19">
        <f>T56</f>
        <v>0.07</v>
      </c>
      <c r="X56" s="86">
        <f>V56/V$8</f>
        <v>0.007995064763</v>
      </c>
      <c r="Y56" s="94">
        <f>V56*(1+Z56)</f>
        <v>138171.5487</v>
      </c>
      <c r="Z56" s="19">
        <f>W56</f>
        <v>0.07</v>
      </c>
      <c r="AA56" s="86">
        <f>Y56/Y$8</f>
        <v>0.008172687943</v>
      </c>
      <c r="AB56" s="94">
        <f>Y56*(1+AC56)</f>
        <v>147843.5571</v>
      </c>
      <c r="AC56" s="19">
        <f>Z56</f>
        <v>0.07</v>
      </c>
      <c r="AD56" s="86">
        <f>AB56/AB$8</f>
        <v>0.008365030956</v>
      </c>
      <c r="AE56" s="94">
        <f>AB56*(1+AF56)</f>
        <v>158192.6061</v>
      </c>
      <c r="AF56" s="19">
        <f>AC56</f>
        <v>0.07</v>
      </c>
      <c r="AG56" s="86">
        <f>AE56/AE$8</f>
        <v>0.008579937959</v>
      </c>
      <c r="AH56" s="94">
        <f>AE56*(1+AI56)</f>
        <v>169266.0885</v>
      </c>
      <c r="AI56" s="19">
        <f>AF56</f>
        <v>0.07</v>
      </c>
      <c r="AJ56" s="86">
        <f>AH56/AH$8</f>
        <v>0.008738794938</v>
      </c>
      <c r="AK56" s="94">
        <f>AH56*(1+AL56)</f>
        <v>181114.7147</v>
      </c>
      <c r="AL56" s="19">
        <f>AI56</f>
        <v>0.07</v>
      </c>
      <c r="AM56" s="86">
        <f>AK56/AK$8</f>
        <v>0.008923006023</v>
      </c>
      <c r="AN56" s="94">
        <f>AK56*(1+AO56)</f>
        <v>193792.7448</v>
      </c>
      <c r="AO56" s="19">
        <f>AL56</f>
        <v>0.07</v>
      </c>
      <c r="AP56" s="86">
        <f>AN56/AN$8</f>
        <v>0.009161261483</v>
      </c>
      <c r="AQ56" s="94">
        <f>AN56*(1+AR56)</f>
        <v>207358.2369</v>
      </c>
      <c r="AR56" s="19">
        <f>AO56</f>
        <v>0.07</v>
      </c>
      <c r="AS56" s="86">
        <f>AQ56/AQ$8</f>
        <v>0.00939058655</v>
      </c>
      <c r="AT56" s="94">
        <f>AQ56*(1+AU56)</f>
        <v>221873.3135</v>
      </c>
      <c r="AU56" s="19">
        <f>AR56</f>
        <v>0.07</v>
      </c>
      <c r="AV56" s="86">
        <f>AT56/AT$8</f>
        <v>0.009605737012</v>
      </c>
      <c r="AW56" s="94">
        <f>AT56*(1+AX56)</f>
        <v>237404.4454</v>
      </c>
      <c r="AX56" s="19">
        <f>AU56</f>
        <v>0.07</v>
      </c>
      <c r="AY56" s="86">
        <f>AW56/AW$8</f>
        <v>0.009843250842</v>
      </c>
      <c r="AZ56" s="94">
        <f>AW56*(1+BA56)</f>
        <v>254022.7566</v>
      </c>
      <c r="BA56" s="19">
        <f>AX56</f>
        <v>0.07</v>
      </c>
      <c r="BB56" s="86">
        <f>AZ56/AZ$8</f>
        <v>0.01007087663</v>
      </c>
      <c r="BC56" s="94">
        <f>AZ56*(1+BD56)</f>
        <v>271804.3496</v>
      </c>
      <c r="BD56" s="19">
        <f>BA56</f>
        <v>0.07</v>
      </c>
      <c r="BE56" s="86">
        <f>BC56/BC$8</f>
        <v>0.01029386467</v>
      </c>
      <c r="BF56" s="94">
        <f>BC56*(1+BG56)</f>
        <v>290830.6541</v>
      </c>
      <c r="BG56" s="19">
        <f>BD56</f>
        <v>0.07</v>
      </c>
      <c r="BH56" s="86">
        <f>BF56/BF$8</f>
        <v>0.01050593892</v>
      </c>
      <c r="BI56" s="94">
        <f>BF56*(1+BJ56)</f>
        <v>311188.7998</v>
      </c>
      <c r="BJ56" s="19">
        <f>BG56</f>
        <v>0.07</v>
      </c>
      <c r="BK56" s="86">
        <f>BI56/BI$8</f>
        <v>0.01074843879</v>
      </c>
      <c r="BL56" s="94">
        <f>BI56*(1+BM56)</f>
        <v>332972.0158</v>
      </c>
      <c r="BM56" s="19">
        <f>BJ56</f>
        <v>0.07</v>
      </c>
      <c r="BN56" s="86">
        <f>BL56/BL$8</f>
        <v>0.01098554985</v>
      </c>
      <c r="BO56" s="94">
        <f>BL56*(1+BP56)</f>
        <v>356280.0569</v>
      </c>
      <c r="BP56" s="19">
        <f>BM56</f>
        <v>0.07</v>
      </c>
      <c r="BQ56" s="86">
        <f>BO56/BO$8</f>
        <v>0.01119374325</v>
      </c>
      <c r="BR56" s="94">
        <f>BO56*(1+BS56)</f>
        <v>381219.6609</v>
      </c>
      <c r="BS56" s="19">
        <f>BP56</f>
        <v>0.07</v>
      </c>
      <c r="BT56" s="86">
        <f>BR56/BR$8</f>
        <v>0.01145801632</v>
      </c>
      <c r="BU56" s="94">
        <f>BR56*(1+BV56)</f>
        <v>407905.0372</v>
      </c>
      <c r="BV56" s="19">
        <f>BS56</f>
        <v>0.07</v>
      </c>
      <c r="BW56" s="86">
        <f>BU56/BU$8</f>
        <v>0.01169519574</v>
      </c>
      <c r="BX56" s="94">
        <f>BU56*(1+BY56)</f>
        <v>436458.3898</v>
      </c>
      <c r="BY56" s="19">
        <f>BV56</f>
        <v>0.07</v>
      </c>
      <c r="BZ56" s="86">
        <f>BX56/BX$8</f>
        <v>0.01193373316</v>
      </c>
      <c r="CA56" s="94">
        <f>BX56*(1+CB56)</f>
        <v>467010.4771</v>
      </c>
      <c r="CB56" s="19">
        <f>BY56</f>
        <v>0.07</v>
      </c>
      <c r="CC56" s="86">
        <f>CA56/CA$8</f>
        <v>0.01220336244</v>
      </c>
      <c r="CD56" s="94">
        <f>CA56*(1+CE56)</f>
        <v>499701.2105</v>
      </c>
      <c r="CE56" s="19">
        <f>CB56</f>
        <v>0.07</v>
      </c>
      <c r="CF56" s="86">
        <f>CD56/CD$8</f>
        <v>0.01247724564</v>
      </c>
      <c r="CG56" s="94">
        <f>CD56*(1+CH56)</f>
        <v>534680.2952</v>
      </c>
      <c r="CH56" s="19">
        <f>CE56</f>
        <v>0.07</v>
      </c>
      <c r="CI56" s="86">
        <f>CG56/CG$8</f>
        <v>0.01273245372</v>
      </c>
      <c r="CJ56" s="94">
        <f>CG56*(1+CK56)</f>
        <v>572107.9159</v>
      </c>
      <c r="CK56" s="19">
        <f>CH56</f>
        <v>0.07</v>
      </c>
      <c r="CL56" s="86">
        <f>CJ56/CJ$8</f>
        <v>0.01301709687</v>
      </c>
      <c r="CM56" s="94">
        <f>CJ56*(1+CN56)</f>
        <v>612155.47</v>
      </c>
      <c r="CN56" s="19">
        <f>CK56</f>
        <v>0.07</v>
      </c>
      <c r="CO56" s="86">
        <f>CM56/CM$8</f>
        <v>0.01329053659</v>
      </c>
      <c r="CP56" s="1"/>
    </row>
    <row r="57" ht="9.75" customHeight="1">
      <c r="A57" s="1"/>
      <c r="B57" s="82"/>
      <c r="C57" s="93"/>
      <c r="D57" s="110"/>
      <c r="E57" s="114"/>
      <c r="F57" s="86"/>
      <c r="G57" s="110"/>
      <c r="H57" s="2"/>
      <c r="I57" s="86"/>
      <c r="J57" s="110"/>
      <c r="K57" s="2"/>
      <c r="L57" s="86"/>
      <c r="M57" s="110"/>
      <c r="N57" s="2"/>
      <c r="O57" s="86"/>
      <c r="P57" s="110"/>
      <c r="Q57" s="2"/>
      <c r="R57" s="86"/>
      <c r="S57" s="110"/>
      <c r="T57" s="2"/>
      <c r="U57" s="86"/>
      <c r="V57" s="110"/>
      <c r="W57" s="2"/>
      <c r="X57" s="86"/>
      <c r="Y57" s="110"/>
      <c r="Z57" s="2"/>
      <c r="AA57" s="86"/>
      <c r="AB57" s="110"/>
      <c r="AC57" s="2"/>
      <c r="AD57" s="86"/>
      <c r="AE57" s="110"/>
      <c r="AF57" s="2"/>
      <c r="AG57" s="86"/>
      <c r="AH57" s="110"/>
      <c r="AI57" s="2"/>
      <c r="AJ57" s="86"/>
      <c r="AK57" s="110"/>
      <c r="AL57" s="2"/>
      <c r="AM57" s="86"/>
      <c r="AN57" s="110"/>
      <c r="AO57" s="2"/>
      <c r="AP57" s="86"/>
      <c r="AQ57" s="110"/>
      <c r="AR57" s="2"/>
      <c r="AS57" s="86"/>
      <c r="AT57" s="110"/>
      <c r="AU57" s="2"/>
      <c r="AV57" s="86"/>
      <c r="AW57" s="110"/>
      <c r="AX57" s="2"/>
      <c r="AY57" s="86"/>
      <c r="AZ57" s="110"/>
      <c r="BA57" s="2"/>
      <c r="BB57" s="86"/>
      <c r="BC57" s="110"/>
      <c r="BD57" s="2"/>
      <c r="BE57" s="86"/>
      <c r="BF57" s="110"/>
      <c r="BG57" s="2"/>
      <c r="BH57" s="86"/>
      <c r="BI57" s="110"/>
      <c r="BJ57" s="2"/>
      <c r="BK57" s="86"/>
      <c r="BL57" s="110"/>
      <c r="BM57" s="2"/>
      <c r="BN57" s="86"/>
      <c r="BO57" s="110"/>
      <c r="BP57" s="2"/>
      <c r="BQ57" s="86"/>
      <c r="BR57" s="110"/>
      <c r="BS57" s="2"/>
      <c r="BT57" s="86"/>
      <c r="BU57" s="110"/>
      <c r="BV57" s="2"/>
      <c r="BW57" s="86"/>
      <c r="BX57" s="110"/>
      <c r="BY57" s="2"/>
      <c r="BZ57" s="86"/>
      <c r="CA57" s="110"/>
      <c r="CB57" s="2"/>
      <c r="CC57" s="86"/>
      <c r="CD57" s="110"/>
      <c r="CE57" s="2"/>
      <c r="CF57" s="86"/>
      <c r="CG57" s="110"/>
      <c r="CH57" s="2"/>
      <c r="CI57" s="86"/>
      <c r="CJ57" s="110"/>
      <c r="CK57" s="2"/>
      <c r="CL57" s="86"/>
      <c r="CM57" s="110"/>
      <c r="CN57" s="2"/>
      <c r="CO57" s="86"/>
      <c r="CP57" s="1"/>
    </row>
    <row r="58" ht="13.5" customHeight="1">
      <c r="A58" s="47"/>
      <c r="B58" s="116" t="s">
        <v>122</v>
      </c>
      <c r="C58" s="117" t="s">
        <v>78</v>
      </c>
      <c r="D58" s="118">
        <v>0.0</v>
      </c>
      <c r="E58" s="119" t="s">
        <v>99</v>
      </c>
      <c r="F58" s="120">
        <f>D58/D$8</f>
        <v>0</v>
      </c>
      <c r="G58" s="121">
        <f>D58*(1+H58)</f>
        <v>0</v>
      </c>
      <c r="H58" s="122">
        <v>0.03</v>
      </c>
      <c r="I58" s="120">
        <f>G58/G$8</f>
        <v>0</v>
      </c>
      <c r="J58" s="121">
        <f>G58*(1+K58)</f>
        <v>0</v>
      </c>
      <c r="K58" s="123">
        <f>H58</f>
        <v>0.03</v>
      </c>
      <c r="L58" s="120">
        <f>J58/J$8</f>
        <v>0</v>
      </c>
      <c r="M58" s="121">
        <f>J58*(1+N58)</f>
        <v>0</v>
      </c>
      <c r="N58" s="123">
        <f>K58</f>
        <v>0.03</v>
      </c>
      <c r="O58" s="120">
        <f>M58/M$8</f>
        <v>0</v>
      </c>
      <c r="P58" s="121">
        <f>M58*(1+Q58)</f>
        <v>0</v>
      </c>
      <c r="Q58" s="123">
        <f>N58</f>
        <v>0.03</v>
      </c>
      <c r="R58" s="120">
        <f>P58/P$8</f>
        <v>0</v>
      </c>
      <c r="S58" s="121">
        <f>P58*(1+T58)</f>
        <v>0</v>
      </c>
      <c r="T58" s="123">
        <f>Q58</f>
        <v>0.03</v>
      </c>
      <c r="U58" s="120">
        <f>S58/S$8</f>
        <v>0</v>
      </c>
      <c r="V58" s="121">
        <f>S58*(1+W58)</f>
        <v>0</v>
      </c>
      <c r="W58" s="123">
        <f>T58</f>
        <v>0.03</v>
      </c>
      <c r="X58" s="120">
        <f>V58/V$8</f>
        <v>0</v>
      </c>
      <c r="Y58" s="121">
        <f>V58*(1+Z58)</f>
        <v>0</v>
      </c>
      <c r="Z58" s="123">
        <f>W58</f>
        <v>0.03</v>
      </c>
      <c r="AA58" s="120">
        <f>Y58/Y$8</f>
        <v>0</v>
      </c>
      <c r="AB58" s="121">
        <f>Y58*(1+AC58)</f>
        <v>0</v>
      </c>
      <c r="AC58" s="123">
        <f>Z58</f>
        <v>0.03</v>
      </c>
      <c r="AD58" s="120">
        <f>AB58/AB$8</f>
        <v>0</v>
      </c>
      <c r="AE58" s="121">
        <f>AB58*(1+AF58)</f>
        <v>0</v>
      </c>
      <c r="AF58" s="123">
        <f>AC58</f>
        <v>0.03</v>
      </c>
      <c r="AG58" s="120">
        <f>AE58/AE$8</f>
        <v>0</v>
      </c>
      <c r="AH58" s="121">
        <f>AE58*(1+AI58)</f>
        <v>0</v>
      </c>
      <c r="AI58" s="123">
        <f>AF58</f>
        <v>0.03</v>
      </c>
      <c r="AJ58" s="120">
        <f>AH58/AH$8</f>
        <v>0</v>
      </c>
      <c r="AK58" s="121">
        <f>AH58*(1+AL58)</f>
        <v>0</v>
      </c>
      <c r="AL58" s="123">
        <f>AI58</f>
        <v>0.03</v>
      </c>
      <c r="AM58" s="120">
        <f>AK58/AK$8</f>
        <v>0</v>
      </c>
      <c r="AN58" s="121">
        <f>AK58*(1+AO58)</f>
        <v>0</v>
      </c>
      <c r="AO58" s="123">
        <f>AL58</f>
        <v>0.03</v>
      </c>
      <c r="AP58" s="120">
        <f>AN58/AN$8</f>
        <v>0</v>
      </c>
      <c r="AQ58" s="121">
        <f>AN58*(1+AR58)</f>
        <v>0</v>
      </c>
      <c r="AR58" s="123">
        <f>AO58</f>
        <v>0.03</v>
      </c>
      <c r="AS58" s="120">
        <f>AQ58/AQ$8</f>
        <v>0</v>
      </c>
      <c r="AT58" s="121">
        <f>AQ58*(1+AU58)</f>
        <v>0</v>
      </c>
      <c r="AU58" s="123">
        <f>AR58</f>
        <v>0.03</v>
      </c>
      <c r="AV58" s="120">
        <f>AT58/AT$8</f>
        <v>0</v>
      </c>
      <c r="AW58" s="121">
        <f>AT58*(1+AX58)</f>
        <v>0</v>
      </c>
      <c r="AX58" s="123">
        <f>AU58</f>
        <v>0.03</v>
      </c>
      <c r="AY58" s="120">
        <f>AW58/AW$8</f>
        <v>0</v>
      </c>
      <c r="AZ58" s="121">
        <f>AW58*(1+BA58)</f>
        <v>0</v>
      </c>
      <c r="BA58" s="123">
        <f>AX58</f>
        <v>0.03</v>
      </c>
      <c r="BB58" s="120">
        <f>AZ58/AZ$8</f>
        <v>0</v>
      </c>
      <c r="BC58" s="121">
        <f>AZ58*(1+BD58)</f>
        <v>0</v>
      </c>
      <c r="BD58" s="123">
        <f>BA58</f>
        <v>0.03</v>
      </c>
      <c r="BE58" s="120">
        <f>BC58/BC$8</f>
        <v>0</v>
      </c>
      <c r="BF58" s="121">
        <f>BC58*(1+BG58)</f>
        <v>0</v>
      </c>
      <c r="BG58" s="123">
        <f>BD58</f>
        <v>0.03</v>
      </c>
      <c r="BH58" s="120">
        <f>BF58/BF$8</f>
        <v>0</v>
      </c>
      <c r="BI58" s="121">
        <f>BF58*(1+BJ58)</f>
        <v>0</v>
      </c>
      <c r="BJ58" s="123">
        <f>BG58</f>
        <v>0.03</v>
      </c>
      <c r="BK58" s="120">
        <f>BI58/BI$8</f>
        <v>0</v>
      </c>
      <c r="BL58" s="121">
        <f>BI58*(1+BM58)</f>
        <v>0</v>
      </c>
      <c r="BM58" s="123">
        <f>BJ58</f>
        <v>0.03</v>
      </c>
      <c r="BN58" s="120">
        <f>BL58/BL$8</f>
        <v>0</v>
      </c>
      <c r="BO58" s="121">
        <f>BL58*(1+BP58)</f>
        <v>0</v>
      </c>
      <c r="BP58" s="123">
        <f>BM58</f>
        <v>0.03</v>
      </c>
      <c r="BQ58" s="120">
        <f>BO58/BO$8</f>
        <v>0</v>
      </c>
      <c r="BR58" s="121">
        <f>BO58*(1+BS58)</f>
        <v>0</v>
      </c>
      <c r="BS58" s="123">
        <f>BP58</f>
        <v>0.03</v>
      </c>
      <c r="BT58" s="120">
        <f>BR58/BR$8</f>
        <v>0</v>
      </c>
      <c r="BU58" s="121">
        <f>BR58*(1+BV58)</f>
        <v>0</v>
      </c>
      <c r="BV58" s="123">
        <f>BS58</f>
        <v>0.03</v>
      </c>
      <c r="BW58" s="120">
        <f>BU58/BU$8</f>
        <v>0</v>
      </c>
      <c r="BX58" s="121">
        <f>BU58*(1+BY58)</f>
        <v>0</v>
      </c>
      <c r="BY58" s="123">
        <f>BV58</f>
        <v>0.03</v>
      </c>
      <c r="BZ58" s="120">
        <f>BX58/BX$8</f>
        <v>0</v>
      </c>
      <c r="CA58" s="121">
        <f>BX58*(1+CB58)</f>
        <v>0</v>
      </c>
      <c r="CB58" s="123">
        <f>BY58</f>
        <v>0.03</v>
      </c>
      <c r="CC58" s="120">
        <f>CA58/CA$8</f>
        <v>0</v>
      </c>
      <c r="CD58" s="121">
        <f>CA58*(1+CE58)</f>
        <v>0</v>
      </c>
      <c r="CE58" s="123">
        <f>CB58</f>
        <v>0.03</v>
      </c>
      <c r="CF58" s="120">
        <f>CD58/CD$8</f>
        <v>0</v>
      </c>
      <c r="CG58" s="121">
        <f>CD58*(1+CH58)</f>
        <v>0</v>
      </c>
      <c r="CH58" s="123">
        <f>CE58</f>
        <v>0.03</v>
      </c>
      <c r="CI58" s="120">
        <f>CG58/CG$8</f>
        <v>0</v>
      </c>
      <c r="CJ58" s="121">
        <f>CG58*(1+CK58)</f>
        <v>0</v>
      </c>
      <c r="CK58" s="123">
        <f>CH58</f>
        <v>0.03</v>
      </c>
      <c r="CL58" s="120">
        <f>CJ58/CJ$8</f>
        <v>0</v>
      </c>
      <c r="CM58" s="121">
        <f>CJ58*(1+CN58)</f>
        <v>0</v>
      </c>
      <c r="CN58" s="123">
        <f>CK58</f>
        <v>0.03</v>
      </c>
      <c r="CO58" s="120">
        <f>CM58/CM$8</f>
        <v>0</v>
      </c>
      <c r="CP58" s="47"/>
      <c r="CQ58" s="47"/>
    </row>
    <row r="59" ht="9.75" customHeight="1">
      <c r="A59" s="1"/>
      <c r="B59" s="88"/>
      <c r="C59" s="124"/>
      <c r="D59" s="103"/>
      <c r="E59" s="125"/>
      <c r="F59" s="91"/>
      <c r="G59" s="103"/>
      <c r="H59" s="92"/>
      <c r="I59" s="91"/>
      <c r="J59" s="103"/>
      <c r="K59" s="92"/>
      <c r="L59" s="91"/>
      <c r="M59" s="103"/>
      <c r="N59" s="92"/>
      <c r="O59" s="91"/>
      <c r="P59" s="103"/>
      <c r="Q59" s="92"/>
      <c r="R59" s="91"/>
      <c r="S59" s="103"/>
      <c r="T59" s="92"/>
      <c r="U59" s="91"/>
      <c r="V59" s="103"/>
      <c r="W59" s="92"/>
      <c r="X59" s="91"/>
      <c r="Y59" s="103"/>
      <c r="Z59" s="92"/>
      <c r="AA59" s="91"/>
      <c r="AB59" s="103"/>
      <c r="AC59" s="92"/>
      <c r="AD59" s="91"/>
      <c r="AE59" s="103"/>
      <c r="AF59" s="92"/>
      <c r="AG59" s="91"/>
      <c r="AH59" s="103"/>
      <c r="AI59" s="92"/>
      <c r="AJ59" s="91"/>
      <c r="AK59" s="103"/>
      <c r="AL59" s="92"/>
      <c r="AM59" s="91"/>
      <c r="AN59" s="103"/>
      <c r="AO59" s="92"/>
      <c r="AP59" s="91"/>
      <c r="AQ59" s="103"/>
      <c r="AR59" s="92"/>
      <c r="AS59" s="91"/>
      <c r="AT59" s="103"/>
      <c r="AU59" s="92"/>
      <c r="AV59" s="91"/>
      <c r="AW59" s="103"/>
      <c r="AX59" s="92"/>
      <c r="AY59" s="91"/>
      <c r="AZ59" s="103"/>
      <c r="BA59" s="92"/>
      <c r="BB59" s="91"/>
      <c r="BC59" s="103"/>
      <c r="BD59" s="92"/>
      <c r="BE59" s="91"/>
      <c r="BF59" s="103"/>
      <c r="BG59" s="92"/>
      <c r="BH59" s="91"/>
      <c r="BI59" s="103"/>
      <c r="BJ59" s="92"/>
      <c r="BK59" s="91"/>
      <c r="BL59" s="103"/>
      <c r="BM59" s="92"/>
      <c r="BN59" s="91"/>
      <c r="BO59" s="103"/>
      <c r="BP59" s="92"/>
      <c r="BQ59" s="91"/>
      <c r="BR59" s="103"/>
      <c r="BS59" s="92"/>
      <c r="BT59" s="91"/>
      <c r="BU59" s="103"/>
      <c r="BV59" s="92"/>
      <c r="BW59" s="91"/>
      <c r="BX59" s="103"/>
      <c r="BY59" s="92"/>
      <c r="BZ59" s="91"/>
      <c r="CA59" s="103"/>
      <c r="CB59" s="92"/>
      <c r="CC59" s="91"/>
      <c r="CD59" s="103"/>
      <c r="CE59" s="92"/>
      <c r="CF59" s="91"/>
      <c r="CG59" s="103"/>
      <c r="CH59" s="92"/>
      <c r="CI59" s="91"/>
      <c r="CJ59" s="103"/>
      <c r="CK59" s="92"/>
      <c r="CL59" s="91"/>
      <c r="CM59" s="103"/>
      <c r="CN59" s="92"/>
      <c r="CO59" s="91"/>
      <c r="CP59" s="1"/>
    </row>
    <row r="60" ht="13.5" customHeight="1">
      <c r="A60" s="1"/>
      <c r="B60" s="82" t="s">
        <v>126</v>
      </c>
      <c r="C60" s="93" t="s">
        <v>127</v>
      </c>
      <c r="D60" s="94">
        <f>SUM(D42:D59)</f>
        <v>3097666.667</v>
      </c>
      <c r="E60" s="32" t="s">
        <v>99</v>
      </c>
      <c r="F60" s="86">
        <f>D60/D$8</f>
        <v>0.2531549018</v>
      </c>
      <c r="G60" s="94">
        <f>SUM(G42:G59)</f>
        <v>3273201.111</v>
      </c>
      <c r="H60" s="87">
        <f>(G60-D60)/D60</f>
        <v>0.05666666667</v>
      </c>
      <c r="I60" s="86">
        <f>G60/G$8</f>
        <v>0.2552203595</v>
      </c>
      <c r="J60" s="94">
        <f>SUM(J42:J58)</f>
        <v>3459783.9</v>
      </c>
      <c r="K60" s="87">
        <f>(J60-G60)/G60</f>
        <v>0.05700315457</v>
      </c>
      <c r="L60" s="86">
        <f>J60/J$8</f>
        <v>0.2560621619</v>
      </c>
      <c r="M60" s="94">
        <f>SUM(M42:M58)</f>
        <v>3658151.245</v>
      </c>
      <c r="N60" s="87">
        <f>(M60-J60)/J60</f>
        <v>0.05733518369</v>
      </c>
      <c r="O60" s="86">
        <f>M60/M$8</f>
        <v>0.2577887492</v>
      </c>
      <c r="P60" s="94">
        <f>SUM(P42:P58)</f>
        <v>3869089.779</v>
      </c>
      <c r="Q60" s="87">
        <f>(P60-M60)/M60</f>
        <v>0.05766260596</v>
      </c>
      <c r="R60" s="86">
        <f>P60/P$8</f>
        <v>0.2602030855</v>
      </c>
      <c r="S60" s="94">
        <f>SUM(S42:S58)</f>
        <v>4093440.049</v>
      </c>
      <c r="T60" s="87">
        <f>(S60-P60)/P60</f>
        <v>0.05798528397</v>
      </c>
      <c r="U60" s="86">
        <f>S60/S$8</f>
        <v>0.2645622911</v>
      </c>
      <c r="V60" s="94">
        <f>SUM(V42:V58)</f>
        <v>4332100.257</v>
      </c>
      <c r="W60" s="87">
        <f>(V60-S60)/S60</f>
        <v>0.05830309108</v>
      </c>
      <c r="X60" s="86">
        <f>V60/V$8</f>
        <v>0.2682165902</v>
      </c>
      <c r="Y60" s="94">
        <f>SUM(Y42:Y58)</f>
        <v>4586030.261</v>
      </c>
      <c r="Z60" s="87">
        <f>(Y60-V60)/V60</f>
        <v>0.05861591137</v>
      </c>
      <c r="AA60" s="86">
        <f>Y60/Y$8</f>
        <v>0.2712584072</v>
      </c>
      <c r="AB60" s="94">
        <f>SUM(AB42:AB58)</f>
        <v>4856255.856</v>
      </c>
      <c r="AC60" s="87">
        <f>(AB60-Y60)/Y60</f>
        <v>0.05892363966</v>
      </c>
      <c r="AD60" s="86">
        <f>AB60/AB$8</f>
        <v>0.2747683522</v>
      </c>
      <c r="AE60" s="94">
        <f>SUM(AE42:AE58)</f>
        <v>5143873.347</v>
      </c>
      <c r="AF60" s="87">
        <f>(AE60-AB60)/AB60</f>
        <v>0.05922618145</v>
      </c>
      <c r="AG60" s="86">
        <f>AE60/AE$8</f>
        <v>0.2789897408</v>
      </c>
      <c r="AH60" s="94">
        <f>SUM(AH42:AH58)</f>
        <v>5450054.449</v>
      </c>
      <c r="AI60" s="87">
        <f>(AH60-AE60)/AE60</f>
        <v>0.05952345278</v>
      </c>
      <c r="AJ60" s="86">
        <f>AH60/AH$8</f>
        <v>0.2813730065</v>
      </c>
      <c r="AK60" s="94">
        <f>SUM(AK42:AK58)</f>
        <v>5776051.527</v>
      </c>
      <c r="AL60" s="87">
        <f>(AK60-AH60)/AH60</f>
        <v>0.05981538011</v>
      </c>
      <c r="AM60" s="86">
        <f>AK60/AK$8</f>
        <v>0.2845696035</v>
      </c>
      <c r="AN60" s="94">
        <f>SUM(AN42:AN58)</f>
        <v>6123203.199</v>
      </c>
      <c r="AO60" s="87">
        <f>(AN60-AK60)/AK60</f>
        <v>0.06010190012</v>
      </c>
      <c r="AP60" s="86">
        <f>AN60/AN$8</f>
        <v>0.2894652516</v>
      </c>
      <c r="AQ60" s="94">
        <f>SUM(AQ42:AQ58)</f>
        <v>6492940.33</v>
      </c>
      <c r="AR60" s="87">
        <f>(AQ60-AN60)/AN60</f>
        <v>0.06038295953</v>
      </c>
      <c r="AS60" s="86">
        <f>AQ60/AQ$8</f>
        <v>0.2940443507</v>
      </c>
      <c r="AT60" s="94">
        <f>SUM(AT42:AT58)</f>
        <v>6886792.448</v>
      </c>
      <c r="AU60" s="87">
        <f>(AT60-AQ60)/AQ60</f>
        <v>0.06065851483</v>
      </c>
      <c r="AV60" s="86">
        <f>AT60/AT$8</f>
        <v>0.2981553575</v>
      </c>
      <c r="AW60" s="94">
        <f>SUM(AW42:AW58)</f>
        <v>7306394.602</v>
      </c>
      <c r="AX60" s="87">
        <f>(AW60-AT60)/AT60</f>
        <v>0.06092853205</v>
      </c>
      <c r="AY60" s="86">
        <f>AW60/AW$8</f>
        <v>0.3029373552</v>
      </c>
      <c r="AZ60" s="94">
        <f>SUM(AZ42:AZ58)</f>
        <v>7753494.708</v>
      </c>
      <c r="BA60" s="87">
        <f>(AZ60-AW60)/AW60</f>
        <v>0.06119298642</v>
      </c>
      <c r="BB60" s="86">
        <f>AZ60/AZ$8</f>
        <v>0.3073917065</v>
      </c>
      <c r="BC60" s="94">
        <f>SUM(BC42:BC58)</f>
        <v>8229961.395</v>
      </c>
      <c r="BD60" s="87">
        <f>(BC60-AZ60)/AZ60</f>
        <v>0.0614518621</v>
      </c>
      <c r="BE60" s="86">
        <f>BC60/BC$8</f>
        <v>0.3116878333</v>
      </c>
      <c r="BF60" s="94">
        <f>SUM(BF42:BF58)</f>
        <v>8737792.413</v>
      </c>
      <c r="BG60" s="87">
        <f>(BF60-BC60)/BC60</f>
        <v>0.06170515183</v>
      </c>
      <c r="BH60" s="86">
        <f>BF60/BF$8</f>
        <v>0.315643183</v>
      </c>
      <c r="BI60" s="94">
        <f>SUM(BI42:BI58)</f>
        <v>9279123.613</v>
      </c>
      <c r="BJ60" s="87">
        <f>(BI60-BF60)/BF60</f>
        <v>0.06195285659</v>
      </c>
      <c r="BK60" s="86">
        <f>BI60/BI$8</f>
        <v>0.320500263</v>
      </c>
      <c r="BL60" s="94">
        <f>SUM(BL42:BL58)</f>
        <v>9856238.569</v>
      </c>
      <c r="BM60" s="87">
        <f>(BL60-BI60)/BI60</f>
        <v>0.06219498525</v>
      </c>
      <c r="BN60" s="86">
        <f>BL60/BL$8</f>
        <v>0.3251810811</v>
      </c>
      <c r="BO60" s="94">
        <f>SUM(BO42:BO58)</f>
        <v>10471578.86</v>
      </c>
      <c r="BP60" s="87">
        <f>(BO60-BL60)/BL60</f>
        <v>0.06243155418</v>
      </c>
      <c r="BQ60" s="86">
        <f>BO60/BO$8</f>
        <v>0.3290000742</v>
      </c>
      <c r="BR60" s="94">
        <f>SUM(BR42:BR58)</f>
        <v>11127755.08</v>
      </c>
      <c r="BS60" s="87">
        <f>(BR60-BO60)/BO60</f>
        <v>0.06266258691</v>
      </c>
      <c r="BT60" s="86">
        <f>BR60/BR$8</f>
        <v>0.3344580891</v>
      </c>
      <c r="BU60" s="94">
        <f>SUM(BU42:BU58)</f>
        <v>11827558.61</v>
      </c>
      <c r="BV60" s="87">
        <f>(BU60-BR60)/BR60</f>
        <v>0.06288811371</v>
      </c>
      <c r="BW60" s="86">
        <f>BU60/BU$8</f>
        <v>0.3391122945</v>
      </c>
      <c r="BX60" s="94">
        <f>SUM(BX42:BX58)</f>
        <v>12573974.2</v>
      </c>
      <c r="BY60" s="87">
        <f>(BX60-BU60)/BU60</f>
        <v>0.06310817123</v>
      </c>
      <c r="BZ60" s="86">
        <f>BX60/BX$8</f>
        <v>0.3438001341</v>
      </c>
      <c r="CA60" s="94">
        <f>SUM(CA42:CA58)</f>
        <v>13370193.48</v>
      </c>
      <c r="CB60" s="87">
        <f>(CA60-BX60)/BX60</f>
        <v>0.06332280212</v>
      </c>
      <c r="CC60" s="86">
        <f>CA60/CA$8</f>
        <v>0.3493739968</v>
      </c>
      <c r="CD60" s="94">
        <f>SUM(CD42:CD58)</f>
        <v>14219629.35</v>
      </c>
      <c r="CE60" s="87">
        <f>(CD60-CA60)/CA60</f>
        <v>0.06353205461</v>
      </c>
      <c r="CF60" s="86">
        <f>CD60/CD$8</f>
        <v>0.3550557903</v>
      </c>
      <c r="CG60" s="94">
        <f>SUM(CG42:CG58)</f>
        <v>15125931.39</v>
      </c>
      <c r="CH60" s="87">
        <f>(CG60-CD60)/CD60</f>
        <v>0.06373598217</v>
      </c>
      <c r="CI60" s="86">
        <f>CG60/CG$8</f>
        <v>0.3601969683</v>
      </c>
      <c r="CJ60" s="94">
        <f>SUM(CJ42:CJ58)</f>
        <v>16093002.41</v>
      </c>
      <c r="CK60" s="87">
        <f>(CJ60-CG60)/CG60</f>
        <v>0.06393464311</v>
      </c>
      <c r="CL60" s="86">
        <f>CJ60/CJ$8</f>
        <v>0.3661619871</v>
      </c>
      <c r="CM60" s="94">
        <f>SUM(CM42:CM58)</f>
        <v>17125016.08</v>
      </c>
      <c r="CN60" s="87">
        <f>(CM60-CJ60)/CJ60</f>
        <v>0.06412810022</v>
      </c>
      <c r="CO60" s="86">
        <f>CM60/CM$8</f>
        <v>0.3718020405</v>
      </c>
      <c r="CP60" s="1"/>
    </row>
    <row r="61" ht="9.75" customHeight="1">
      <c r="A61" s="1"/>
      <c r="B61" s="88"/>
      <c r="C61" s="124"/>
      <c r="D61" s="126"/>
      <c r="E61" s="17"/>
      <c r="F61" s="91"/>
      <c r="G61" s="126"/>
      <c r="H61" s="17"/>
      <c r="I61" s="91"/>
      <c r="J61" s="126"/>
      <c r="K61" s="17"/>
      <c r="L61" s="91"/>
      <c r="M61" s="126"/>
      <c r="N61" s="17"/>
      <c r="O61" s="91"/>
      <c r="P61" s="126"/>
      <c r="Q61" s="17"/>
      <c r="R61" s="91"/>
      <c r="S61" s="126"/>
      <c r="T61" s="17"/>
      <c r="U61" s="91"/>
      <c r="V61" s="126"/>
      <c r="W61" s="17"/>
      <c r="X61" s="91"/>
      <c r="Y61" s="126"/>
      <c r="Z61" s="17"/>
      <c r="AA61" s="91"/>
      <c r="AB61" s="126"/>
      <c r="AC61" s="17"/>
      <c r="AD61" s="91"/>
      <c r="AE61" s="126"/>
      <c r="AF61" s="17"/>
      <c r="AG61" s="91"/>
      <c r="AH61" s="126"/>
      <c r="AI61" s="17"/>
      <c r="AJ61" s="91"/>
      <c r="AK61" s="126"/>
      <c r="AL61" s="17"/>
      <c r="AM61" s="91"/>
      <c r="AN61" s="126"/>
      <c r="AO61" s="17"/>
      <c r="AP61" s="91"/>
      <c r="AQ61" s="126"/>
      <c r="AR61" s="17"/>
      <c r="AS61" s="91"/>
      <c r="AT61" s="126"/>
      <c r="AU61" s="17"/>
      <c r="AV61" s="91"/>
      <c r="AW61" s="126"/>
      <c r="AX61" s="17"/>
      <c r="AY61" s="91"/>
      <c r="AZ61" s="126"/>
      <c r="BA61" s="17"/>
      <c r="BB61" s="91"/>
      <c r="BC61" s="126"/>
      <c r="BD61" s="17"/>
      <c r="BE61" s="91"/>
      <c r="BF61" s="126"/>
      <c r="BG61" s="17"/>
      <c r="BH61" s="91"/>
      <c r="BI61" s="126"/>
      <c r="BJ61" s="17"/>
      <c r="BK61" s="91"/>
      <c r="BL61" s="126"/>
      <c r="BM61" s="17"/>
      <c r="BN61" s="91"/>
      <c r="BO61" s="126"/>
      <c r="BP61" s="17"/>
      <c r="BQ61" s="91"/>
      <c r="BR61" s="126"/>
      <c r="BS61" s="17"/>
      <c r="BT61" s="91"/>
      <c r="BU61" s="126"/>
      <c r="BV61" s="17"/>
      <c r="BW61" s="91"/>
      <c r="BX61" s="126"/>
      <c r="BY61" s="17"/>
      <c r="BZ61" s="91"/>
      <c r="CA61" s="126"/>
      <c r="CB61" s="17"/>
      <c r="CC61" s="91"/>
      <c r="CD61" s="126"/>
      <c r="CE61" s="17"/>
      <c r="CF61" s="91"/>
      <c r="CG61" s="126"/>
      <c r="CH61" s="17"/>
      <c r="CI61" s="91"/>
      <c r="CJ61" s="126"/>
      <c r="CK61" s="17"/>
      <c r="CL61" s="91"/>
      <c r="CM61" s="126"/>
      <c r="CN61" s="17"/>
      <c r="CO61" s="91"/>
      <c r="CP61" s="1"/>
    </row>
    <row r="62" ht="13.5" customHeight="1">
      <c r="A62" s="1"/>
      <c r="B62" s="82">
        <f>B40+1</f>
        <v>6</v>
      </c>
      <c r="C62" s="93" t="s">
        <v>128</v>
      </c>
      <c r="D62" s="94">
        <f>D38+D60</f>
        <v>8980833.177</v>
      </c>
      <c r="E62" s="32" t="s">
        <v>129</v>
      </c>
      <c r="F62" s="86">
        <f>D62/D$8</f>
        <v>0.7339530638</v>
      </c>
      <c r="G62" s="94">
        <f>G38+G60</f>
        <v>9392867.778</v>
      </c>
      <c r="H62" s="87">
        <f>(G62-D62)/D62</f>
        <v>0.04587932912</v>
      </c>
      <c r="I62" s="86">
        <f>G62/G$8</f>
        <v>0.7323873511</v>
      </c>
      <c r="J62" s="94">
        <f>J38+J60</f>
        <v>9224450.567</v>
      </c>
      <c r="K62" s="87">
        <f>(J62-G62)/G62</f>
        <v>-0.01793032917</v>
      </c>
      <c r="L62" s="86">
        <f>J62/J$8</f>
        <v>0.6827110659</v>
      </c>
      <c r="M62" s="94">
        <f>M38+M60</f>
        <v>9655817.912</v>
      </c>
      <c r="N62" s="87">
        <f>(M62-J62)/J62</f>
        <v>0.04676347305</v>
      </c>
      <c r="O62" s="86">
        <f>M62/M$8</f>
        <v>0.6804424025</v>
      </c>
      <c r="P62" s="94">
        <f>P38+P60</f>
        <v>10099756.45</v>
      </c>
      <c r="Q62" s="87">
        <f>(P62-M62)/M62</f>
        <v>0.04597627439</v>
      </c>
      <c r="R62" s="86">
        <f>P62/P$8</f>
        <v>0.6792263658</v>
      </c>
      <c r="S62" s="94">
        <f>S38+S60</f>
        <v>10505106.72</v>
      </c>
      <c r="T62" s="87">
        <f>(S62-P62)/P62</f>
        <v>0.04013465787</v>
      </c>
      <c r="U62" s="86">
        <f>S62/S$8</f>
        <v>0.6789534151</v>
      </c>
      <c r="V62" s="94">
        <f>V38+V60</f>
        <v>10976766.92</v>
      </c>
      <c r="W62" s="87">
        <f>(V62-S62)/S62</f>
        <v>0.0448981834</v>
      </c>
      <c r="X62" s="86">
        <f>V62/V$8</f>
        <v>0.6796128486</v>
      </c>
      <c r="Y62" s="94">
        <f>Y38+Y60</f>
        <v>11455363.59</v>
      </c>
      <c r="Z62" s="87">
        <f>(Y62-V62)/V62</f>
        <v>0.04360087762</v>
      </c>
      <c r="AA62" s="86">
        <f>Y62/Y$8</f>
        <v>0.6775715609</v>
      </c>
      <c r="AB62" s="94">
        <f>AB38+AB60</f>
        <v>11958589.19</v>
      </c>
      <c r="AC62" s="87">
        <f>(AB62-Y62)/Y62</f>
        <v>0.04392925554</v>
      </c>
      <c r="AD62" s="86">
        <f>AB62/AB$8</f>
        <v>0.6766204136</v>
      </c>
      <c r="AE62" s="94">
        <f>AE38+AE60</f>
        <v>12487540.01</v>
      </c>
      <c r="AF62" s="87">
        <f>(AE62-AB62)/AB62</f>
        <v>0.04423187514</v>
      </c>
      <c r="AG62" s="86">
        <f>AE62/AE$8</f>
        <v>0.6772903058</v>
      </c>
      <c r="AH62" s="94">
        <f>AH38+AH60</f>
        <v>13078721.12</v>
      </c>
      <c r="AI62" s="87">
        <f>(AH62-AE62)/AE62</f>
        <v>0.04734167832</v>
      </c>
      <c r="AJ62" s="86">
        <f>AH62/AH$8</f>
        <v>0.6752224433</v>
      </c>
      <c r="AK62" s="94">
        <f>AK38+AK60</f>
        <v>13698051.53</v>
      </c>
      <c r="AL62" s="87">
        <f>(AK62-AH62)/AH62</f>
        <v>0.04735404986</v>
      </c>
      <c r="AM62" s="86">
        <f>AK62/AK$8</f>
        <v>0.6748639747</v>
      </c>
      <c r="AN62" s="94">
        <f>AN38+AN60</f>
        <v>14278203.2</v>
      </c>
      <c r="AO62" s="87">
        <f>(AN62-AK62)/AK62</f>
        <v>0.04235286098</v>
      </c>
      <c r="AP62" s="86">
        <f>AN62/AN$8</f>
        <v>0.6749806509</v>
      </c>
      <c r="AQ62" s="94">
        <f>AQ38+AQ60</f>
        <v>14880940.33</v>
      </c>
      <c r="AR62" s="87">
        <f>(AQ62-AN62)/AN62</f>
        <v>0.04221379417</v>
      </c>
      <c r="AS62" s="86">
        <f>AQ62/AQ$8</f>
        <v>0.673909849</v>
      </c>
      <c r="AT62" s="94">
        <f>AT38+AT60</f>
        <v>15568125.78</v>
      </c>
      <c r="AU62" s="87">
        <f>(AT62-AQ62)/AQ62</f>
        <v>0.04617889968</v>
      </c>
      <c r="AV62" s="86">
        <f>AT62/AT$8</f>
        <v>0.6740031943</v>
      </c>
      <c r="AW62" s="94">
        <f>AW38+AW60</f>
        <v>16272727.94</v>
      </c>
      <c r="AX62" s="87">
        <f>(AW62-AT62)/AT62</f>
        <v>0.0452592794</v>
      </c>
      <c r="AY62" s="86">
        <f>AW62/AW$8</f>
        <v>0.6746990043</v>
      </c>
      <c r="AZ62" s="94">
        <f>AZ38+AZ60</f>
        <v>17013161.37</v>
      </c>
      <c r="BA62" s="87">
        <f>(AZ62-AW62)/AW62</f>
        <v>0.0455014944</v>
      </c>
      <c r="BB62" s="86">
        <f>AZ62/AZ$8</f>
        <v>0.6744964567</v>
      </c>
      <c r="BC62" s="94">
        <f>BC38+BC60</f>
        <v>17834961.4</v>
      </c>
      <c r="BD62" s="87">
        <f>(BC62-AZ62)/AZ62</f>
        <v>0.04830378099</v>
      </c>
      <c r="BE62" s="86">
        <f>BC62/BC$8</f>
        <v>0.6754515857</v>
      </c>
      <c r="BF62" s="94">
        <f>BF38+BF60</f>
        <v>18704792.41</v>
      </c>
      <c r="BG62" s="87">
        <f>(BF62-BC62)/BC62</f>
        <v>0.0487711186</v>
      </c>
      <c r="BH62" s="86">
        <f>BF62/BF$8</f>
        <v>0.6756901441</v>
      </c>
      <c r="BI62" s="94">
        <f>BI38+BI60</f>
        <v>19591456.95</v>
      </c>
      <c r="BJ62" s="87">
        <f>(BI62-BF62)/BF62</f>
        <v>0.0474030673</v>
      </c>
      <c r="BK62" s="86">
        <f>BI62/BI$8</f>
        <v>0.6766875154</v>
      </c>
      <c r="BL62" s="94">
        <f>BL38+BL60</f>
        <v>20513905.24</v>
      </c>
      <c r="BM62" s="87">
        <f>(BL62-BI62)/BI62</f>
        <v>0.04708421084</v>
      </c>
      <c r="BN62" s="86">
        <f>BL62/BL$8</f>
        <v>0.676803208</v>
      </c>
      <c r="BO62" s="94">
        <f>BO38+BO60</f>
        <v>21534912.19</v>
      </c>
      <c r="BP62" s="87">
        <f>(BO62-BL62)/BL62</f>
        <v>0.04977145732</v>
      </c>
      <c r="BQ62" s="86">
        <f>BO62/BO$8</f>
        <v>0.676592117</v>
      </c>
      <c r="BR62" s="94">
        <f>BR38+BR60</f>
        <v>22544755.08</v>
      </c>
      <c r="BS62" s="87">
        <f>(BR62-BO62)/BO62</f>
        <v>0.04689329021</v>
      </c>
      <c r="BT62" s="86">
        <f>BR62/BR$8</f>
        <v>0.6776097828</v>
      </c>
      <c r="BU62" s="94">
        <f>BU38+BU60</f>
        <v>23650225.28</v>
      </c>
      <c r="BV62" s="87">
        <f>(BU62-BR62)/BR62</f>
        <v>0.04903447341</v>
      </c>
      <c r="BW62" s="86">
        <f>BU62/BU$8</f>
        <v>0.6780843304</v>
      </c>
      <c r="BX62" s="94">
        <f>BX38+BX60</f>
        <v>24802307.54</v>
      </c>
      <c r="BY62" s="87">
        <f>(BX62-BU62)/BU62</f>
        <v>0.04871337364</v>
      </c>
      <c r="BZ62" s="86">
        <f>BX62/BX$8</f>
        <v>0.6781496859</v>
      </c>
      <c r="CA62" s="94">
        <f>CA38+CA60</f>
        <v>26004193.48</v>
      </c>
      <c r="CB62" s="87">
        <f>(CA62-BX62)/BX62</f>
        <v>0.04845863415</v>
      </c>
      <c r="CC62" s="86">
        <f>CA62/CA$8</f>
        <v>0.6795106609</v>
      </c>
      <c r="CD62" s="94">
        <f>CD38+CD60</f>
        <v>27267629.35</v>
      </c>
      <c r="CE62" s="87">
        <f>(CD62-CA62)/CA62</f>
        <v>0.04858585071</v>
      </c>
      <c r="CF62" s="86">
        <f>CD62/CD$8</f>
        <v>0.6808566842</v>
      </c>
      <c r="CG62" s="94">
        <f>CG38+CG60</f>
        <v>28639931.39</v>
      </c>
      <c r="CH62" s="87">
        <f>(CG62-CD62)/CD62</f>
        <v>0.05032714891</v>
      </c>
      <c r="CI62" s="86">
        <f>CG62/CG$8</f>
        <v>0.6820086773</v>
      </c>
      <c r="CJ62" s="94">
        <f>CJ38+CJ60</f>
        <v>30021002.41</v>
      </c>
      <c r="CK62" s="87">
        <f>(CJ62-CG62)/CG62</f>
        <v>0.04822186919</v>
      </c>
      <c r="CL62" s="86">
        <f>CJ62/CJ$8</f>
        <v>0.6830639563</v>
      </c>
      <c r="CM62" s="94">
        <f>CM38+CM60</f>
        <v>31510682.75</v>
      </c>
      <c r="CN62" s="87">
        <f>(CM62-CJ62)/CJ62</f>
        <v>0.04962127239</v>
      </c>
      <c r="CO62" s="86">
        <f>CM62/CM$8</f>
        <v>0.6841299352</v>
      </c>
      <c r="CP62" s="1"/>
    </row>
    <row r="63" ht="9.75" customHeight="1">
      <c r="A63" s="1"/>
      <c r="B63" s="82"/>
      <c r="C63" s="93"/>
      <c r="D63" s="94"/>
      <c r="E63" s="32"/>
      <c r="F63" s="100"/>
      <c r="G63" s="94"/>
      <c r="H63" s="32"/>
      <c r="I63" s="100"/>
      <c r="J63" s="94"/>
      <c r="K63" s="32"/>
      <c r="L63" s="100"/>
      <c r="M63" s="94"/>
      <c r="N63" s="32"/>
      <c r="O63" s="100"/>
      <c r="P63" s="94"/>
      <c r="Q63" s="32"/>
      <c r="R63" s="100"/>
      <c r="S63" s="94"/>
      <c r="T63" s="32"/>
      <c r="U63" s="100"/>
      <c r="V63" s="94"/>
      <c r="W63" s="32"/>
      <c r="X63" s="100"/>
      <c r="Y63" s="94"/>
      <c r="Z63" s="32"/>
      <c r="AA63" s="100"/>
      <c r="AB63" s="94"/>
      <c r="AC63" s="32"/>
      <c r="AD63" s="100"/>
      <c r="AE63" s="94"/>
      <c r="AF63" s="32"/>
      <c r="AG63" s="100"/>
      <c r="AH63" s="94"/>
      <c r="AI63" s="32"/>
      <c r="AJ63" s="100"/>
      <c r="AK63" s="94"/>
      <c r="AL63" s="32"/>
      <c r="AM63" s="100"/>
      <c r="AN63" s="94"/>
      <c r="AO63" s="32"/>
      <c r="AP63" s="100"/>
      <c r="AQ63" s="94"/>
      <c r="AR63" s="32"/>
      <c r="AS63" s="100"/>
      <c r="AT63" s="94"/>
      <c r="AU63" s="32"/>
      <c r="AV63" s="100"/>
      <c r="AW63" s="94"/>
      <c r="AX63" s="32"/>
      <c r="AY63" s="100"/>
      <c r="AZ63" s="94"/>
      <c r="BA63" s="32"/>
      <c r="BB63" s="100"/>
      <c r="BC63" s="94"/>
      <c r="BD63" s="32"/>
      <c r="BE63" s="100"/>
      <c r="BF63" s="94"/>
      <c r="BG63" s="32"/>
      <c r="BH63" s="100"/>
      <c r="BI63" s="94"/>
      <c r="BJ63" s="32"/>
      <c r="BK63" s="100"/>
      <c r="BL63" s="94"/>
      <c r="BM63" s="32"/>
      <c r="BN63" s="100"/>
      <c r="BO63" s="94"/>
      <c r="BP63" s="32"/>
      <c r="BQ63" s="100"/>
      <c r="BR63" s="94"/>
      <c r="BS63" s="32"/>
      <c r="BT63" s="100"/>
      <c r="BU63" s="94"/>
      <c r="BV63" s="32"/>
      <c r="BW63" s="100"/>
      <c r="BX63" s="94"/>
      <c r="BY63" s="32"/>
      <c r="BZ63" s="100"/>
      <c r="CA63" s="94"/>
      <c r="CB63" s="32"/>
      <c r="CC63" s="100"/>
      <c r="CD63" s="94"/>
      <c r="CE63" s="32"/>
      <c r="CF63" s="100"/>
      <c r="CG63" s="94"/>
      <c r="CH63" s="32"/>
      <c r="CI63" s="100"/>
      <c r="CJ63" s="94"/>
      <c r="CK63" s="32"/>
      <c r="CL63" s="100"/>
      <c r="CM63" s="94"/>
      <c r="CN63" s="32"/>
      <c r="CO63" s="100"/>
      <c r="CP63" s="1"/>
    </row>
    <row r="64">
      <c r="A64" s="1"/>
      <c r="B64" s="82">
        <v>7.0</v>
      </c>
      <c r="C64" s="93" t="s">
        <v>130</v>
      </c>
      <c r="D64" s="127">
        <f>D15-D38</f>
        <v>0.1566666672</v>
      </c>
      <c r="E64" s="32"/>
      <c r="F64" s="100"/>
      <c r="G64" s="127">
        <f>G15-G38</f>
        <v>0</v>
      </c>
      <c r="H64" s="32"/>
      <c r="I64" s="100"/>
      <c r="J64" s="127">
        <f>J15-J38</f>
        <v>0</v>
      </c>
      <c r="K64" s="32"/>
      <c r="L64" s="100"/>
      <c r="M64" s="127">
        <f>M15-M38</f>
        <v>0</v>
      </c>
      <c r="N64" s="32"/>
      <c r="O64" s="100"/>
      <c r="P64" s="127">
        <f>P15-P38</f>
        <v>0</v>
      </c>
      <c r="Q64" s="32"/>
      <c r="R64" s="100"/>
      <c r="S64" s="127">
        <f>S15-S38</f>
        <v>0</v>
      </c>
      <c r="T64" s="32"/>
      <c r="U64" s="100"/>
      <c r="V64" s="127">
        <f>V15-V38</f>
        <v>0</v>
      </c>
      <c r="W64" s="32"/>
      <c r="X64" s="100"/>
      <c r="Y64" s="127">
        <f>Y15-Y38</f>
        <v>0</v>
      </c>
      <c r="Z64" s="32"/>
      <c r="AA64" s="100"/>
      <c r="AB64" s="127">
        <f>AB15-AB38</f>
        <v>0</v>
      </c>
      <c r="AC64" s="32"/>
      <c r="AD64" s="100"/>
      <c r="AE64" s="127">
        <f>AE15-AE38</f>
        <v>0</v>
      </c>
      <c r="AF64" s="32"/>
      <c r="AG64" s="100"/>
      <c r="AH64" s="128">
        <f>AH15-AH38</f>
        <v>0</v>
      </c>
      <c r="AI64" s="32"/>
      <c r="AJ64" s="100"/>
      <c r="AK64" s="128">
        <f>AK15-AK38</f>
        <v>0</v>
      </c>
      <c r="AL64" s="32"/>
      <c r="AM64" s="100"/>
      <c r="AN64" s="128">
        <f>AN15-AN38</f>
        <v>0</v>
      </c>
      <c r="AO64" s="32"/>
      <c r="AP64" s="100"/>
      <c r="AQ64" s="128">
        <f>AQ15-AQ38</f>
        <v>0</v>
      </c>
      <c r="AR64" s="32"/>
      <c r="AS64" s="100"/>
      <c r="AT64" s="128">
        <f>AT15-AT38</f>
        <v>0</v>
      </c>
      <c r="AU64" s="32"/>
      <c r="AV64" s="100"/>
      <c r="AW64" s="128">
        <f>AW15-AW38</f>
        <v>0</v>
      </c>
      <c r="AX64" s="32"/>
      <c r="AY64" s="100"/>
      <c r="AZ64" s="128">
        <f>AZ15-AZ38</f>
        <v>0</v>
      </c>
      <c r="BA64" s="32"/>
      <c r="BB64" s="100"/>
      <c r="BC64" s="128">
        <f>BC15-BC38</f>
        <v>0</v>
      </c>
      <c r="BD64" s="32"/>
      <c r="BE64" s="100"/>
      <c r="BF64" s="128">
        <f>BF15-BF38</f>
        <v>0</v>
      </c>
      <c r="BG64" s="32"/>
      <c r="BH64" s="100"/>
      <c r="BI64" s="128">
        <f>BI15-BI38</f>
        <v>0</v>
      </c>
      <c r="BJ64" s="32"/>
      <c r="BK64" s="100"/>
      <c r="BL64" s="128">
        <f>BL15-BL38</f>
        <v>0</v>
      </c>
      <c r="BM64" s="32"/>
      <c r="BN64" s="100"/>
      <c r="BO64" s="128">
        <f>BO15-BO38</f>
        <v>0</v>
      </c>
      <c r="BP64" s="32"/>
      <c r="BQ64" s="100"/>
      <c r="BR64" s="128">
        <f>BR15-BR38</f>
        <v>0</v>
      </c>
      <c r="BS64" s="32"/>
      <c r="BT64" s="100"/>
      <c r="BU64" s="128">
        <f>BU15-BU38</f>
        <v>0</v>
      </c>
      <c r="BV64" s="32"/>
      <c r="BW64" s="100"/>
      <c r="BX64" s="128">
        <f>BX15-BX38</f>
        <v>0</v>
      </c>
      <c r="BY64" s="32"/>
      <c r="BZ64" s="100"/>
      <c r="CA64" s="128">
        <f>CA15-CA38</f>
        <v>0</v>
      </c>
      <c r="CB64" s="32"/>
      <c r="CC64" s="100"/>
      <c r="CD64" s="128">
        <f>CD15-CD38</f>
        <v>0</v>
      </c>
      <c r="CE64" s="32"/>
      <c r="CF64" s="100"/>
      <c r="CG64" s="128">
        <f>CG15-CG38</f>
        <v>0</v>
      </c>
      <c r="CH64" s="32"/>
      <c r="CI64" s="100"/>
      <c r="CJ64" s="128">
        <f>CJ15-CJ38</f>
        <v>0</v>
      </c>
      <c r="CK64" s="32"/>
      <c r="CL64" s="100"/>
      <c r="CM64" s="128">
        <f>CM15-CM38</f>
        <v>0</v>
      </c>
      <c r="CN64" s="32"/>
      <c r="CO64" s="100"/>
      <c r="CP64" s="1"/>
    </row>
    <row r="65">
      <c r="A65" s="1"/>
      <c r="B65" s="82">
        <v>8.0</v>
      </c>
      <c r="C65" s="93" t="s">
        <v>131</v>
      </c>
      <c r="D65" s="129">
        <f>D17-D60</f>
        <v>0</v>
      </c>
      <c r="E65" s="32"/>
      <c r="F65" s="100"/>
      <c r="G65" s="129">
        <f>G17-G60</f>
        <v>-6867.777778</v>
      </c>
      <c r="H65" s="32"/>
      <c r="I65" s="100"/>
      <c r="J65" s="129">
        <f>J17-J60</f>
        <v>-24783.9</v>
      </c>
      <c r="K65" s="32"/>
      <c r="L65" s="100"/>
      <c r="M65" s="129">
        <f>M17-M60</f>
        <v>5848.754556</v>
      </c>
      <c r="N65" s="32"/>
      <c r="O65" s="100"/>
      <c r="P65" s="129">
        <f>P17-P60</f>
        <v>23910.22076</v>
      </c>
      <c r="Q65" s="32"/>
      <c r="R65" s="100"/>
      <c r="S65" s="129">
        <f>S17-S60</f>
        <v>28559.95119</v>
      </c>
      <c r="T65" s="32"/>
      <c r="U65" s="100"/>
      <c r="V65" s="129">
        <f>V17-V60</f>
        <v>18899.74321</v>
      </c>
      <c r="W65" s="32"/>
      <c r="X65" s="100"/>
      <c r="Y65" s="129">
        <f>Y17-Y60</f>
        <v>54303.07186</v>
      </c>
      <c r="Z65" s="32"/>
      <c r="AA65" s="100"/>
      <c r="AB65" s="129">
        <f>AB17-AB60</f>
        <v>73410.81059</v>
      </c>
      <c r="AC65" s="32"/>
      <c r="AD65" s="100"/>
      <c r="AE65" s="129">
        <f>AE17-AE60</f>
        <v>62793.32007</v>
      </c>
      <c r="AF65" s="32"/>
      <c r="AG65" s="100"/>
      <c r="AH65" s="129">
        <f>AH17-AH60</f>
        <v>106278.8845</v>
      </c>
      <c r="AI65" s="32"/>
      <c r="AJ65" s="100"/>
      <c r="AK65" s="129">
        <f>AK17-AK60</f>
        <v>117615.1393</v>
      </c>
      <c r="AL65" s="32"/>
      <c r="AM65" s="100"/>
      <c r="AN65" s="129">
        <f>AN17-AN60</f>
        <v>120130.134</v>
      </c>
      <c r="AO65" s="32"/>
      <c r="AP65" s="100"/>
      <c r="AQ65" s="129">
        <f>AQ17-AQ60</f>
        <v>148059.6697</v>
      </c>
      <c r="AR65" s="32"/>
      <c r="AS65" s="100"/>
      <c r="AT65" s="129">
        <f>AT17-AT60</f>
        <v>151874.219</v>
      </c>
      <c r="AU65" s="32"/>
      <c r="AV65" s="100"/>
      <c r="AW65" s="129">
        <f>AW17-AW60</f>
        <v>142272.0646</v>
      </c>
      <c r="AX65" s="32"/>
      <c r="AY65" s="100"/>
      <c r="AZ65" s="129">
        <f>AZ17-AZ60</f>
        <v>153171.959</v>
      </c>
      <c r="BA65" s="32"/>
      <c r="BB65" s="100"/>
      <c r="BC65" s="129">
        <f>BC17-BC60</f>
        <v>134705.2714</v>
      </c>
      <c r="BD65" s="32"/>
      <c r="BE65" s="100"/>
      <c r="BF65" s="129">
        <f>BF17-BF60</f>
        <v>132874.2539</v>
      </c>
      <c r="BG65" s="32"/>
      <c r="BH65" s="100"/>
      <c r="BI65" s="129">
        <f>BI17-BI60</f>
        <v>109876.387</v>
      </c>
      <c r="BJ65" s="32"/>
      <c r="BK65" s="100"/>
      <c r="BL65" s="129">
        <f>BL17-BL60</f>
        <v>111428.0974</v>
      </c>
      <c r="BM65" s="32"/>
      <c r="BN65" s="100"/>
      <c r="BO65" s="129">
        <f>BO17-BO60</f>
        <v>122754.4718</v>
      </c>
      <c r="BP65" s="32"/>
      <c r="BQ65" s="100"/>
      <c r="BR65" s="129">
        <f>BR17-BR60</f>
        <v>93244.91793</v>
      </c>
      <c r="BS65" s="32"/>
      <c r="BT65" s="100"/>
      <c r="BU65" s="129">
        <f>BU17-BU60</f>
        <v>80441.39098</v>
      </c>
      <c r="BV65" s="32"/>
      <c r="BW65" s="100"/>
      <c r="BX65" s="129">
        <f>BX17-BX60</f>
        <v>81359.13034</v>
      </c>
      <c r="BY65" s="32"/>
      <c r="BZ65" s="100"/>
      <c r="CA65" s="129">
        <f>CA17-CA60</f>
        <v>32473.18338</v>
      </c>
      <c r="CB65" s="32"/>
      <c r="CC65" s="100"/>
      <c r="CD65" s="129">
        <f>CD17-CD60</f>
        <v>-21629.34578</v>
      </c>
      <c r="CE65" s="32"/>
      <c r="CF65" s="100"/>
      <c r="CG65" s="129">
        <f>CG17-CG60</f>
        <v>-72264.72155</v>
      </c>
      <c r="CH65" s="32"/>
      <c r="CI65" s="100"/>
      <c r="CJ65" s="129">
        <f>CJ17-CJ60</f>
        <v>-123335.7466</v>
      </c>
      <c r="CK65" s="32"/>
      <c r="CL65" s="100"/>
      <c r="CM65" s="129">
        <f>CM17-CM60</f>
        <v>-179016.0849</v>
      </c>
      <c r="CN65" s="32"/>
      <c r="CO65" s="100"/>
      <c r="CP65" s="130">
        <f>SUM(D65:CO65)</f>
        <v>1678387.47</v>
      </c>
      <c r="CQ65" s="131" t="s">
        <v>132</v>
      </c>
    </row>
    <row r="66" ht="13.5" customHeight="1">
      <c r="A66" s="1"/>
      <c r="B66" s="132">
        <v>9.0</v>
      </c>
      <c r="C66" s="133" t="s">
        <v>133</v>
      </c>
      <c r="D66" s="134">
        <f>D19-D62</f>
        <v>0.1566666681</v>
      </c>
      <c r="E66" s="135" t="s">
        <v>129</v>
      </c>
      <c r="F66" s="136">
        <f>D66/D$8</f>
        <v>0.00000001280348703</v>
      </c>
      <c r="G66" s="134">
        <f>G19-G62</f>
        <v>-6867.777778</v>
      </c>
      <c r="H66" s="137">
        <f>(G66-D66)/D66</f>
        <v>-43837.87902</v>
      </c>
      <c r="I66" s="136">
        <f>G66/G$8</f>
        <v>-0.0005354992419</v>
      </c>
      <c r="J66" s="134">
        <f>J19-J62</f>
        <v>-24783.9</v>
      </c>
      <c r="K66" s="137">
        <f>(J66-G66)/G66</f>
        <v>2.60872189</v>
      </c>
      <c r="L66" s="136">
        <f>J66/J$8</f>
        <v>-0.001834281908</v>
      </c>
      <c r="M66" s="134">
        <f>M19-M62</f>
        <v>5848.754556</v>
      </c>
      <c r="N66" s="137">
        <f>(M66-J66)/J66</f>
        <v>-1.23599008</v>
      </c>
      <c r="O66" s="136">
        <f>M66/M$8</f>
        <v>0.0004121598644</v>
      </c>
      <c r="P66" s="134">
        <f>P19-P62</f>
        <v>23910.22076</v>
      </c>
      <c r="Q66" s="137">
        <f>(P66-M66)/M66</f>
        <v>3.088087563</v>
      </c>
      <c r="R66" s="136">
        <f>P66/P$8</f>
        <v>0.001608004355</v>
      </c>
      <c r="S66" s="134">
        <f>S19-S62</f>
        <v>28559.95119</v>
      </c>
      <c r="T66" s="137">
        <f>(S66-P66)/P66</f>
        <v>0.1944662278</v>
      </c>
      <c r="U66" s="136">
        <f>S66/S$8</f>
        <v>0.001845852396</v>
      </c>
      <c r="V66" s="134">
        <f>V19-V62</f>
        <v>18899.74321</v>
      </c>
      <c r="W66" s="137">
        <f>(V66-S66)/S66</f>
        <v>-0.3382431545</v>
      </c>
      <c r="X66" s="136">
        <f>V66/V$8</f>
        <v>0.001170154054</v>
      </c>
      <c r="Y66" s="134">
        <f>Y19-Y62</f>
        <v>54303.07186</v>
      </c>
      <c r="Z66" s="137">
        <f>(Y66-V66)/V66</f>
        <v>1.873217443</v>
      </c>
      <c r="AA66" s="136">
        <f>Y66/Y$8</f>
        <v>0.003211964148</v>
      </c>
      <c r="AB66" s="134">
        <f>AB19-AB62</f>
        <v>73410.81059</v>
      </c>
      <c r="AC66" s="137">
        <f>(AB66-Y66)/Y66</f>
        <v>0.3518721514</v>
      </c>
      <c r="AD66" s="136">
        <f>AB66/AB$8</f>
        <v>0.004153604763</v>
      </c>
      <c r="AE66" s="134">
        <f>AE19-AE62</f>
        <v>62793.32007</v>
      </c>
      <c r="AF66" s="137">
        <f>(AE66-AB66)/AB66</f>
        <v>-0.1446311576</v>
      </c>
      <c r="AG66" s="136">
        <f>AE66/AE$8</f>
        <v>0.003405739394</v>
      </c>
      <c r="AH66" s="134">
        <f>AH19-AH62</f>
        <v>106278.8845</v>
      </c>
      <c r="AI66" s="137">
        <f>(AH66-AE66)/AE66</f>
        <v>0.692518955</v>
      </c>
      <c r="AJ66" s="136">
        <f>AH66/AH$8</f>
        <v>0.005486919356</v>
      </c>
      <c r="AK66" s="134">
        <f>AK19-AK62</f>
        <v>117615.1393</v>
      </c>
      <c r="AL66" s="137">
        <f>(AK66-AH66)/AH66</f>
        <v>0.1066651661</v>
      </c>
      <c r="AM66" s="136">
        <f>AK66/AK$8</f>
        <v>0.005794562844</v>
      </c>
      <c r="AN66" s="134">
        <f>AN19-AN62</f>
        <v>120130.134</v>
      </c>
      <c r="AO66" s="137">
        <f>(AN66-AK66)/AK66</f>
        <v>0.02138325647</v>
      </c>
      <c r="AP66" s="136">
        <f>AN66/AN$8</f>
        <v>0.005678971991</v>
      </c>
      <c r="AQ66" s="134">
        <f>AQ19-AQ62</f>
        <v>148059.6697</v>
      </c>
      <c r="AR66" s="137">
        <f>(AQ66-AN66)/AN66</f>
        <v>0.2324940027</v>
      </c>
      <c r="AS66" s="136">
        <f>AQ66/AQ$8</f>
        <v>0.006705145471</v>
      </c>
      <c r="AT66" s="134">
        <f>AT19-AT62</f>
        <v>151874.219</v>
      </c>
      <c r="AU66" s="137">
        <f>(AT66-AQ66)/AQ66</f>
        <v>0.02576359469</v>
      </c>
      <c r="AV66" s="136">
        <f>AT66/AT$8</f>
        <v>0.006575210799</v>
      </c>
      <c r="AW66" s="134">
        <f>AW19-AW62</f>
        <v>142272.0646</v>
      </c>
      <c r="AX66" s="137">
        <f>(AW66-AT66)/AT66</f>
        <v>-0.06322438692</v>
      </c>
      <c r="AY66" s="136">
        <f>AW66/AW$8</f>
        <v>0.005898876988</v>
      </c>
      <c r="AZ66" s="134">
        <f>AZ19-AZ62</f>
        <v>153171.959</v>
      </c>
      <c r="BA66" s="137">
        <f>(AZ66-AW66)/AW66</f>
        <v>0.07661303251</v>
      </c>
      <c r="BB66" s="136">
        <f>AZ66/AZ$8</f>
        <v>0.006072589409</v>
      </c>
      <c r="BC66" s="134">
        <f>BC19-BC62</f>
        <v>134705.2714</v>
      </c>
      <c r="BD66" s="137">
        <f>(BC66-AZ66)/AZ66</f>
        <v>-0.1205618033</v>
      </c>
      <c r="BE66" s="136">
        <f>BC66/BC$8</f>
        <v>0.005101602809</v>
      </c>
      <c r="BF66" s="134">
        <f>BF19-BF62</f>
        <v>132874.2539</v>
      </c>
      <c r="BG66" s="137">
        <f>(BF66-BC66)/BC66</f>
        <v>-0.01359276771</v>
      </c>
      <c r="BH66" s="136">
        <f>BF66/BF$8</f>
        <v>0.004799936924</v>
      </c>
      <c r="BI66" s="134">
        <f>BI19-BI62</f>
        <v>109876.387</v>
      </c>
      <c r="BJ66" s="137">
        <f>(BI66-BF66)/BF66</f>
        <v>-0.1730799329</v>
      </c>
      <c r="BK66" s="136">
        <f>BI66/BI$8</f>
        <v>0.003795122512</v>
      </c>
      <c r="BL66" s="134">
        <f>BL19-BL62</f>
        <v>111428.0974</v>
      </c>
      <c r="BM66" s="137">
        <f>(BL66-BI66)/BI66</f>
        <v>0.01412232845</v>
      </c>
      <c r="BN66" s="136">
        <f>BL66/BL$8</f>
        <v>0.003676281669</v>
      </c>
      <c r="BO66" s="134">
        <f>BO19-BO62</f>
        <v>122754.4718</v>
      </c>
      <c r="BP66" s="137">
        <f>(BO66-BL66)/BL66</f>
        <v>0.1016473821</v>
      </c>
      <c r="BQ66" s="136">
        <f>BO66/BO$8</f>
        <v>0.003856746996</v>
      </c>
      <c r="BR66" s="134">
        <f>BR19-BR62</f>
        <v>93244.91793</v>
      </c>
      <c r="BS66" s="137">
        <f>(BR66-BO66)/BO66</f>
        <v>-0.2403949397</v>
      </c>
      <c r="BT66" s="136">
        <f>BR66/BR$8</f>
        <v>0.002802588378</v>
      </c>
      <c r="BU66" s="134">
        <f>BU19-BU62</f>
        <v>80441.39098</v>
      </c>
      <c r="BV66" s="137">
        <f>(BU66-BR66)/BR66</f>
        <v>-0.1373107214</v>
      </c>
      <c r="BW66" s="136">
        <f>BU66/BU$8</f>
        <v>0.002306364785</v>
      </c>
      <c r="BX66" s="134">
        <f>BX19-BX62</f>
        <v>81359.13034</v>
      </c>
      <c r="BY66" s="137">
        <f>(BX66-BU66)/BU66</f>
        <v>0.01140879525</v>
      </c>
      <c r="BZ66" s="136">
        <f>BX66/BX$8</f>
        <v>0.002224537721</v>
      </c>
      <c r="CA66" s="134">
        <f>CA19-CA62</f>
        <v>32473.18338</v>
      </c>
      <c r="CB66" s="137">
        <f>(CA66-BX66)/BX66</f>
        <v>-0.6008661444</v>
      </c>
      <c r="CC66" s="136">
        <f>CA66/CA$8</f>
        <v>0.0008485506122</v>
      </c>
      <c r="CD66" s="134">
        <f>CD19-CD62</f>
        <v>-21629.34578</v>
      </c>
      <c r="CE66" s="137">
        <f>(CD66-CA66)/CA66</f>
        <v>-1.666067922</v>
      </c>
      <c r="CF66" s="136">
        <f>CD66/CD$8</f>
        <v>-0.0005400720563</v>
      </c>
      <c r="CG66" s="134">
        <f>CG19-CG62</f>
        <v>-72264.72155</v>
      </c>
      <c r="CH66" s="137">
        <f>(CG66-CD66)/CD66</f>
        <v>2.341049806</v>
      </c>
      <c r="CI66" s="136">
        <f>CG66/CG$8</f>
        <v>-0.001720854931</v>
      </c>
      <c r="CJ66" s="134">
        <f>CJ19-CJ62</f>
        <v>-123335.7466</v>
      </c>
      <c r="CK66" s="137">
        <f>(CJ66-CG66)/CG66</f>
        <v>0.7067213981</v>
      </c>
      <c r="CL66" s="136">
        <f>CJ66/CJ$8</f>
        <v>-0.002806242172</v>
      </c>
      <c r="CM66" s="134">
        <f>CM19-CM62</f>
        <v>-179016.0849</v>
      </c>
      <c r="CN66" s="137">
        <f>(CM66-CJ66)/CJ66</f>
        <v>0.4514533689</v>
      </c>
      <c r="CO66" s="136">
        <f>CM66/CM$8</f>
        <v>-0.003886626752</v>
      </c>
      <c r="CP66" s="138">
        <v>0.06044</v>
      </c>
      <c r="CQ66" s="131" t="s">
        <v>134</v>
      </c>
    </row>
    <row r="67" ht="9.75" customHeight="1">
      <c r="A67" s="1"/>
      <c r="B67" s="70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</row>
    <row r="68" ht="13.5" customHeight="1">
      <c r="A68" s="1"/>
      <c r="B68" s="139" t="s">
        <v>135</v>
      </c>
      <c r="C68" s="1"/>
      <c r="D68" s="42"/>
      <c r="E68" s="2"/>
      <c r="F68" s="2"/>
      <c r="G68" s="42"/>
      <c r="H68" s="2"/>
      <c r="I68" s="2"/>
      <c r="J68" s="42"/>
      <c r="K68" s="2"/>
      <c r="L68" s="2"/>
      <c r="M68" s="42"/>
      <c r="N68" s="2"/>
      <c r="O68" s="2"/>
      <c r="P68" s="42"/>
      <c r="Q68" s="2"/>
      <c r="R68" s="2"/>
      <c r="S68" s="42"/>
      <c r="T68" s="2"/>
      <c r="U68" s="2"/>
      <c r="V68" s="42"/>
      <c r="W68" s="2"/>
      <c r="X68" s="2"/>
      <c r="Y68" s="42"/>
      <c r="Z68" s="2"/>
      <c r="AA68" s="2"/>
      <c r="AB68" s="42"/>
      <c r="AC68" s="2"/>
      <c r="AD68" s="2"/>
      <c r="AE68" s="42"/>
      <c r="AF68" s="2"/>
      <c r="AG68" s="2"/>
      <c r="AH68" s="42"/>
      <c r="AI68" s="2"/>
      <c r="AJ68" s="2"/>
      <c r="AK68" s="42"/>
      <c r="AL68" s="2"/>
      <c r="AM68" s="2"/>
      <c r="AN68" s="42"/>
      <c r="AO68" s="2"/>
      <c r="AP68" s="2"/>
      <c r="AQ68" s="42"/>
      <c r="AR68" s="2"/>
      <c r="AS68" s="2"/>
      <c r="AT68" s="42"/>
      <c r="AU68" s="2"/>
      <c r="AV68" s="2"/>
      <c r="AW68" s="42"/>
      <c r="AX68" s="2"/>
      <c r="AY68" s="2"/>
      <c r="AZ68" s="42"/>
      <c r="BA68" s="2"/>
      <c r="BB68" s="2"/>
      <c r="BC68" s="42"/>
      <c r="BD68" s="2"/>
      <c r="BE68" s="2"/>
      <c r="BF68" s="42"/>
      <c r="BG68" s="2"/>
      <c r="BH68" s="2"/>
      <c r="BI68" s="42"/>
      <c r="BJ68" s="2"/>
      <c r="BK68" s="2"/>
      <c r="BL68" s="42"/>
      <c r="BM68" s="2"/>
      <c r="BN68" s="2"/>
      <c r="BO68" s="42"/>
      <c r="BP68" s="2"/>
      <c r="BQ68" s="2"/>
      <c r="BR68" s="42"/>
      <c r="BS68" s="2"/>
      <c r="BT68" s="2"/>
      <c r="BU68" s="42"/>
      <c r="BV68" s="2"/>
      <c r="BW68" s="2"/>
      <c r="BX68" s="42"/>
      <c r="BY68" s="2"/>
      <c r="BZ68" s="2"/>
      <c r="CA68" s="42"/>
      <c r="CB68" s="2"/>
      <c r="CC68" s="2"/>
      <c r="CD68" s="42"/>
      <c r="CE68" s="2"/>
      <c r="CF68" s="2"/>
      <c r="CG68" s="42"/>
      <c r="CH68" s="2"/>
      <c r="CI68" s="2"/>
      <c r="CJ68" s="42"/>
      <c r="CK68" s="2"/>
      <c r="CL68" s="2"/>
      <c r="CM68" s="42"/>
      <c r="CN68" s="2"/>
      <c r="CO68" s="2"/>
      <c r="CP68" s="2"/>
      <c r="CQ68" s="2"/>
    </row>
    <row r="69" ht="4.5" customHeight="1">
      <c r="A69" s="1"/>
      <c r="B69" s="70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</row>
    <row r="70" ht="13.5" customHeight="1">
      <c r="A70" s="1"/>
      <c r="B70" s="1" t="s">
        <v>136</v>
      </c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</row>
    <row r="71" ht="4.5" customHeight="1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</row>
    <row r="72" ht="13.5" customHeight="1">
      <c r="A72" s="1"/>
      <c r="B72" s="1" t="s">
        <v>137</v>
      </c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</row>
    <row r="73" ht="4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</row>
    <row r="74" ht="13.5" customHeight="1">
      <c r="A74" s="1"/>
      <c r="B74" s="1" t="s">
        <v>138</v>
      </c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</row>
    <row r="75" ht="4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</row>
    <row r="76" ht="13.5" customHeight="1">
      <c r="A76" s="1"/>
      <c r="B76" s="1" t="s">
        <v>139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</row>
  </sheetData>
  <mergeCells count="36"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  <mergeCell ref="BC4:BE4"/>
    <mergeCell ref="BF4:BH4"/>
    <mergeCell ref="BI4:BK4"/>
    <mergeCell ref="BL4:BN4"/>
    <mergeCell ref="CJ4:CL4"/>
    <mergeCell ref="CM4:CO4"/>
    <mergeCell ref="BO4:BQ4"/>
    <mergeCell ref="BR4:BT4"/>
    <mergeCell ref="BU4:BW4"/>
    <mergeCell ref="BX4:BZ4"/>
    <mergeCell ref="CA4:CC4"/>
    <mergeCell ref="CD4:CF4"/>
    <mergeCell ref="CG4:CI4"/>
    <mergeCell ref="B5:C5"/>
    <mergeCell ref="C25:C26"/>
    <mergeCell ref="C42:C44"/>
    <mergeCell ref="C46:C48"/>
    <mergeCell ref="C50:C51"/>
    <mergeCell ref="C53:C54"/>
    <mergeCell ref="D4:F4"/>
    <mergeCell ref="G4:I4"/>
    <mergeCell ref="J4:L4"/>
    <mergeCell ref="M4:O4"/>
    <mergeCell ref="P4:R4"/>
    <mergeCell ref="S4:U4"/>
    <mergeCell ref="V4:X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8.0" topLeftCell="E9" activePane="bottomRight" state="frozen"/>
      <selection activeCell="E1" sqref="E1" pane="topRight"/>
      <selection activeCell="A9" sqref="A9" pane="bottomLeft"/>
      <selection activeCell="E9" sqref="E9" pane="bottomRight"/>
    </sheetView>
  </sheetViews>
  <sheetFormatPr customHeight="1" defaultColWidth="17.29" defaultRowHeight="15.0"/>
  <cols>
    <col customWidth="1" min="1" max="1" width="2.71"/>
    <col customWidth="1" min="2" max="2" width="5.86"/>
    <col customWidth="1" min="3" max="3" width="41.71"/>
    <col customWidth="1" min="4" max="4" width="18.29"/>
    <col customWidth="1" min="5" max="5" width="16.0"/>
    <col customWidth="1" hidden="1" min="6" max="7" width="16.0"/>
    <col customWidth="1" min="8" max="8" width="17.43"/>
    <col customWidth="1" hidden="1" min="9" max="10" width="17.43"/>
    <col customWidth="1" min="11" max="11" width="17.43"/>
    <col customWidth="1" hidden="1" min="12" max="13" width="17.43"/>
    <col customWidth="1" min="14" max="14" width="17.43"/>
    <col customWidth="1" hidden="1" min="15" max="16" width="17.43"/>
    <col customWidth="1" min="17" max="17" width="17.43"/>
    <col customWidth="1" hidden="1" min="18" max="19" width="17.43"/>
    <col customWidth="1" min="20" max="20" width="17.43"/>
    <col customWidth="1" hidden="1" min="21" max="22" width="17.43"/>
    <col customWidth="1" min="23" max="23" width="17.43"/>
    <col customWidth="1" hidden="1" min="24" max="25" width="17.43"/>
    <col customWidth="1" min="26" max="26" width="17.43"/>
    <col customWidth="1" hidden="1" min="27" max="28" width="17.43"/>
    <col customWidth="1" min="29" max="29" width="17.43"/>
    <col customWidth="1" hidden="1" min="30" max="31" width="17.43"/>
    <col customWidth="1" min="32" max="32" width="17.43"/>
    <col customWidth="1" hidden="1" min="33" max="34" width="17.43"/>
    <col customWidth="1" min="35" max="35" width="17.43"/>
    <col customWidth="1" hidden="1" min="36" max="37" width="17.43"/>
    <col customWidth="1" min="38" max="38" width="17.43"/>
    <col customWidth="1" hidden="1" min="39" max="40" width="17.43"/>
    <col customWidth="1" min="41" max="41" width="17.43"/>
    <col customWidth="1" hidden="1" min="42" max="43" width="17.43"/>
    <col customWidth="1" min="44" max="44" width="17.43"/>
    <col customWidth="1" hidden="1" min="45" max="46" width="17.43"/>
    <col customWidth="1" min="47" max="47" width="17.43"/>
    <col customWidth="1" hidden="1" min="48" max="49" width="17.43"/>
    <col customWidth="1" min="50" max="50" width="17.43"/>
    <col customWidth="1" hidden="1" min="51" max="52" width="17.43"/>
    <col customWidth="1" min="53" max="53" width="17.43"/>
    <col customWidth="1" hidden="1" min="54" max="55" width="17.43"/>
    <col customWidth="1" min="56" max="56" width="17.43"/>
    <col customWidth="1" hidden="1" min="57" max="58" width="17.43"/>
    <col customWidth="1" min="59" max="59" width="17.43"/>
    <col customWidth="1" hidden="1" min="60" max="61" width="17.43"/>
    <col customWidth="1" min="62" max="62" width="17.43"/>
    <col customWidth="1" hidden="1" min="63" max="64" width="17.43"/>
    <col customWidth="1" min="65" max="65" width="17.43"/>
    <col customWidth="1" hidden="1" min="66" max="67" width="17.43"/>
    <col customWidth="1" min="68" max="68" width="17.43"/>
    <col customWidth="1" hidden="1" min="69" max="70" width="17.43"/>
    <col customWidth="1" min="71" max="71" width="17.43"/>
    <col customWidth="1" hidden="1" min="72" max="73" width="17.43"/>
    <col customWidth="1" min="74" max="74" width="17.43"/>
    <col customWidth="1" hidden="1" min="75" max="76" width="17.43"/>
    <col customWidth="1" min="77" max="77" width="17.43"/>
    <col customWidth="1" hidden="1" min="78" max="79" width="17.43"/>
    <col customWidth="1" min="80" max="80" width="17.43"/>
    <col customWidth="1" hidden="1" min="81" max="82" width="17.43"/>
    <col customWidth="1" min="83" max="83" width="17.43"/>
    <col customWidth="1" hidden="1" min="84" max="85" width="17.43"/>
    <col customWidth="1" min="86" max="86" width="17.43"/>
    <col customWidth="1" hidden="1" min="87" max="88" width="17.43"/>
    <col customWidth="1" min="89" max="89" width="17.43"/>
    <col customWidth="1" hidden="1" min="90" max="91" width="17.43"/>
    <col customWidth="1" min="92" max="92" width="17.43"/>
    <col customWidth="1" hidden="1" min="93" max="94" width="0.14"/>
  </cols>
  <sheetData>
    <row r="1" ht="13.5" customHeight="1">
      <c r="A1" s="2"/>
      <c r="B1" s="3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</row>
    <row r="2" ht="22.5" customHeight="1">
      <c r="A2" s="2"/>
      <c r="B2" s="3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</row>
    <row r="3" ht="18.0" customHeight="1">
      <c r="A3" s="2"/>
      <c r="B3" s="140" t="s">
        <v>140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</row>
    <row r="4" ht="13.5" customHeight="1">
      <c r="A4" s="2"/>
      <c r="B4" s="5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</row>
    <row r="5" ht="18.0" customHeight="1">
      <c r="A5" s="2"/>
      <c r="B5" s="141" t="str">
        <f>'Model Summary'!B5</f>
        <v>REVISED DRAFT 2/26/15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</row>
    <row r="6" ht="13.5" customHeight="1">
      <c r="A6" s="2"/>
      <c r="B6" s="70"/>
      <c r="C6" s="2"/>
      <c r="D6" s="2"/>
      <c r="E6" s="2" t="s">
        <v>141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</row>
    <row r="7" ht="13.5" customHeight="1">
      <c r="A7" s="2"/>
      <c r="B7" s="70"/>
      <c r="C7" s="2"/>
      <c r="D7" s="142" t="s">
        <v>142</v>
      </c>
      <c r="E7" s="143">
        <v>1.0</v>
      </c>
      <c r="F7" s="143"/>
      <c r="G7" s="143"/>
      <c r="H7" s="143">
        <f>E7+1</f>
        <v>2</v>
      </c>
      <c r="I7" s="143"/>
      <c r="J7" s="143"/>
      <c r="K7" s="143">
        <f>H7+1</f>
        <v>3</v>
      </c>
      <c r="L7" s="143"/>
      <c r="M7" s="143"/>
      <c r="N7" s="143">
        <f>K7+1</f>
        <v>4</v>
      </c>
      <c r="O7" s="143"/>
      <c r="P7" s="143"/>
      <c r="Q7" s="143">
        <f>N7+1</f>
        <v>5</v>
      </c>
      <c r="R7" s="143"/>
      <c r="S7" s="143"/>
      <c r="T7" s="143">
        <f>Q7+1</f>
        <v>6</v>
      </c>
      <c r="U7" s="143"/>
      <c r="V7" s="143"/>
      <c r="W7" s="143">
        <f>T7+1</f>
        <v>7</v>
      </c>
      <c r="X7" s="143"/>
      <c r="Y7" s="143"/>
      <c r="Z7" s="143">
        <f>W7+1</f>
        <v>8</v>
      </c>
      <c r="AA7" s="143"/>
      <c r="AB7" s="143"/>
      <c r="AC7" s="143">
        <f>Z7+1</f>
        <v>9</v>
      </c>
      <c r="AD7" s="143"/>
      <c r="AE7" s="143"/>
      <c r="AF7" s="143">
        <f>AC7+1</f>
        <v>10</v>
      </c>
      <c r="AG7" s="143"/>
      <c r="AH7" s="143"/>
      <c r="AI7" s="143">
        <f>AF7+1</f>
        <v>11</v>
      </c>
      <c r="AJ7" s="143"/>
      <c r="AK7" s="143"/>
      <c r="AL7" s="143">
        <f>AI7+1</f>
        <v>12</v>
      </c>
      <c r="AM7" s="143"/>
      <c r="AN7" s="143"/>
      <c r="AO7" s="143">
        <f>AL7+1</f>
        <v>13</v>
      </c>
      <c r="AP7" s="143"/>
      <c r="AQ7" s="143"/>
      <c r="AR7" s="143">
        <f>AO7+1</f>
        <v>14</v>
      </c>
      <c r="AS7" s="143"/>
      <c r="AT7" s="143"/>
      <c r="AU7" s="143">
        <f>AR7+1</f>
        <v>15</v>
      </c>
      <c r="AV7" s="143"/>
      <c r="AW7" s="143"/>
      <c r="AX7" s="143">
        <f>AU7+1</f>
        <v>16</v>
      </c>
      <c r="AY7" s="143"/>
      <c r="AZ7" s="143"/>
      <c r="BA7" s="143">
        <f>AX7+1</f>
        <v>17</v>
      </c>
      <c r="BB7" s="143"/>
      <c r="BC7" s="143"/>
      <c r="BD7" s="143">
        <f>BA7+1</f>
        <v>18</v>
      </c>
      <c r="BE7" s="143"/>
      <c r="BF7" s="143"/>
      <c r="BG7" s="143">
        <f>BD7+1</f>
        <v>19</v>
      </c>
      <c r="BH7" s="143"/>
      <c r="BI7" s="143"/>
      <c r="BJ7" s="143">
        <f>BG7+1</f>
        <v>20</v>
      </c>
      <c r="BK7" s="143"/>
      <c r="BL7" s="143"/>
      <c r="BM7" s="143">
        <f>BJ7+1</f>
        <v>21</v>
      </c>
      <c r="BN7" s="143"/>
      <c r="BO7" s="143"/>
      <c r="BP7" s="143">
        <f>BM7+1</f>
        <v>22</v>
      </c>
      <c r="BQ7" s="143"/>
      <c r="BR7" s="143"/>
      <c r="BS7" s="143">
        <f>BP7+1</f>
        <v>23</v>
      </c>
      <c r="BT7" s="143"/>
      <c r="BU7" s="143"/>
      <c r="BV7" s="143">
        <f>BS7+1</f>
        <v>24</v>
      </c>
      <c r="BW7" s="143"/>
      <c r="BX7" s="143"/>
      <c r="BY7" s="143">
        <f>BV7+1</f>
        <v>25</v>
      </c>
      <c r="BZ7" s="143"/>
      <c r="CA7" s="143"/>
      <c r="CB7" s="143">
        <f>BY7+1</f>
        <v>26</v>
      </c>
      <c r="CC7" s="143"/>
      <c r="CD7" s="143"/>
      <c r="CE7" s="143">
        <f>CB7+1</f>
        <v>27</v>
      </c>
      <c r="CF7" s="143"/>
      <c r="CG7" s="143"/>
      <c r="CH7" s="143">
        <f>CE7+1</f>
        <v>28</v>
      </c>
      <c r="CI7" s="143"/>
      <c r="CJ7" s="143"/>
      <c r="CK7" s="143">
        <f>CH7+1</f>
        <v>29</v>
      </c>
      <c r="CL7" s="143"/>
      <c r="CM7" s="143"/>
      <c r="CN7" s="143">
        <f>CK7+1</f>
        <v>30</v>
      </c>
      <c r="CO7" s="2"/>
      <c r="CP7" s="2"/>
    </row>
    <row r="8" ht="18.0" customHeight="1">
      <c r="A8" s="2"/>
      <c r="B8" s="70">
        <f t="shared" ref="B8:B77" si="1">B7+1</f>
        <v>1</v>
      </c>
      <c r="C8" s="144"/>
      <c r="D8" s="2"/>
      <c r="E8" s="32" t="s">
        <v>11</v>
      </c>
      <c r="F8" s="32"/>
      <c r="G8" s="32"/>
      <c r="H8" s="32" t="s">
        <v>12</v>
      </c>
      <c r="I8" s="32"/>
      <c r="J8" s="32"/>
      <c r="K8" s="32" t="s">
        <v>14</v>
      </c>
      <c r="L8" s="32"/>
      <c r="M8" s="32"/>
      <c r="N8" s="32" t="s">
        <v>16</v>
      </c>
      <c r="O8" s="32"/>
      <c r="P8" s="32"/>
      <c r="Q8" s="32" t="s">
        <v>17</v>
      </c>
      <c r="R8" s="32"/>
      <c r="S8" s="32"/>
      <c r="T8" s="32" t="s">
        <v>18</v>
      </c>
      <c r="U8" s="32"/>
      <c r="V8" s="32"/>
      <c r="W8" s="32" t="s">
        <v>19</v>
      </c>
      <c r="X8" s="32"/>
      <c r="Y8" s="32"/>
      <c r="Z8" s="32" t="s">
        <v>20</v>
      </c>
      <c r="AA8" s="32"/>
      <c r="AB8" s="32"/>
      <c r="AC8" s="32" t="s">
        <v>21</v>
      </c>
      <c r="AD8" s="32"/>
      <c r="AE8" s="32"/>
      <c r="AF8" s="32" t="s">
        <v>22</v>
      </c>
      <c r="AG8" s="32"/>
      <c r="AH8" s="32"/>
      <c r="AI8" s="32" t="s">
        <v>23</v>
      </c>
      <c r="AJ8" s="32"/>
      <c r="AK8" s="32"/>
      <c r="AL8" s="32" t="s">
        <v>24</v>
      </c>
      <c r="AM8" s="32"/>
      <c r="AN8" s="32"/>
      <c r="AO8" s="32" t="s">
        <v>25</v>
      </c>
      <c r="AP8" s="32"/>
      <c r="AQ8" s="32"/>
      <c r="AR8" s="32" t="s">
        <v>26</v>
      </c>
      <c r="AS8" s="32"/>
      <c r="AT8" s="32"/>
      <c r="AU8" s="32" t="s">
        <v>27</v>
      </c>
      <c r="AV8" s="32"/>
      <c r="AW8" s="32"/>
      <c r="AX8" s="32" t="s">
        <v>28</v>
      </c>
      <c r="AY8" s="32"/>
      <c r="AZ8" s="32"/>
      <c r="BA8" s="32" t="s">
        <v>29</v>
      </c>
      <c r="BB8" s="32"/>
      <c r="BC8" s="32"/>
      <c r="BD8" s="32" t="s">
        <v>30</v>
      </c>
      <c r="BE8" s="32"/>
      <c r="BF8" s="32"/>
      <c r="BG8" s="32" t="s">
        <v>31</v>
      </c>
      <c r="BH8" s="32"/>
      <c r="BI8" s="32"/>
      <c r="BJ8" s="32" t="s">
        <v>32</v>
      </c>
      <c r="BK8" s="32"/>
      <c r="BL8" s="32"/>
      <c r="BM8" s="32" t="s">
        <v>33</v>
      </c>
      <c r="BN8" s="32"/>
      <c r="BO8" s="32"/>
      <c r="BP8" s="32" t="s">
        <v>34</v>
      </c>
      <c r="BQ8" s="32"/>
      <c r="BR8" s="32"/>
      <c r="BS8" s="32" t="s">
        <v>35</v>
      </c>
      <c r="BT8" s="32"/>
      <c r="BU8" s="32"/>
      <c r="BV8" s="32" t="s">
        <v>36</v>
      </c>
      <c r="BW8" s="32"/>
      <c r="BX8" s="32"/>
      <c r="BY8" s="32" t="s">
        <v>37</v>
      </c>
      <c r="BZ8" s="32"/>
      <c r="CA8" s="32"/>
      <c r="CB8" s="32" t="s">
        <v>38</v>
      </c>
      <c r="CC8" s="32"/>
      <c r="CD8" s="32"/>
      <c r="CE8" s="32" t="s">
        <v>39</v>
      </c>
      <c r="CF8" s="32"/>
      <c r="CG8" s="32"/>
      <c r="CH8" s="32" t="s">
        <v>40</v>
      </c>
      <c r="CI8" s="32"/>
      <c r="CJ8" s="32"/>
      <c r="CK8" s="32" t="s">
        <v>41</v>
      </c>
      <c r="CL8" s="32"/>
      <c r="CM8" s="32"/>
      <c r="CN8" s="32" t="s">
        <v>42</v>
      </c>
      <c r="CO8" s="2"/>
      <c r="CP8" s="2"/>
    </row>
    <row r="9" ht="18.0" customHeight="1">
      <c r="A9" s="2"/>
      <c r="B9" s="70">
        <f t="shared" si="1"/>
        <v>2</v>
      </c>
      <c r="C9" s="145" t="s">
        <v>143</v>
      </c>
      <c r="D9" s="17"/>
      <c r="E9" s="37" t="s">
        <v>144</v>
      </c>
      <c r="F9" s="37"/>
      <c r="G9" s="37"/>
      <c r="H9" s="37" t="s">
        <v>144</v>
      </c>
      <c r="I9" s="37"/>
      <c r="J9" s="37"/>
      <c r="K9" s="37" t="s">
        <v>144</v>
      </c>
      <c r="L9" s="37"/>
      <c r="M9" s="37"/>
      <c r="N9" s="37" t="s">
        <v>144</v>
      </c>
      <c r="O9" s="37"/>
      <c r="P9" s="37"/>
      <c r="Q9" s="37" t="s">
        <v>144</v>
      </c>
      <c r="R9" s="37"/>
      <c r="S9" s="37"/>
      <c r="T9" s="37" t="s">
        <v>144</v>
      </c>
      <c r="U9" s="37"/>
      <c r="V9" s="37"/>
      <c r="W9" s="37" t="s">
        <v>144</v>
      </c>
      <c r="X9" s="37"/>
      <c r="Y9" s="37"/>
      <c r="Z9" s="37" t="s">
        <v>144</v>
      </c>
      <c r="AA9" s="37"/>
      <c r="AB9" s="37"/>
      <c r="AC9" s="37" t="s">
        <v>144</v>
      </c>
      <c r="AD9" s="37"/>
      <c r="AE9" s="37"/>
      <c r="AF9" s="37" t="s">
        <v>144</v>
      </c>
      <c r="AG9" s="37"/>
      <c r="AH9" s="37"/>
      <c r="AI9" s="37" t="s">
        <v>144</v>
      </c>
      <c r="AJ9" s="37"/>
      <c r="AK9" s="37"/>
      <c r="AL9" s="37" t="s">
        <v>144</v>
      </c>
      <c r="AM9" s="37"/>
      <c r="AN9" s="37"/>
      <c r="AO9" s="37" t="s">
        <v>144</v>
      </c>
      <c r="AP9" s="37"/>
      <c r="AQ9" s="37"/>
      <c r="AR9" s="37" t="s">
        <v>144</v>
      </c>
      <c r="AS9" s="37"/>
      <c r="AT9" s="37"/>
      <c r="AU9" s="37" t="s">
        <v>144</v>
      </c>
      <c r="AV9" s="37"/>
      <c r="AW9" s="37"/>
      <c r="AX9" s="37" t="s">
        <v>144</v>
      </c>
      <c r="AY9" s="37"/>
      <c r="AZ9" s="37"/>
      <c r="BA9" s="37" t="s">
        <v>144</v>
      </c>
      <c r="BB9" s="37"/>
      <c r="BC9" s="37"/>
      <c r="BD9" s="37" t="s">
        <v>144</v>
      </c>
      <c r="BE9" s="37"/>
      <c r="BF9" s="37"/>
      <c r="BG9" s="37" t="s">
        <v>144</v>
      </c>
      <c r="BH9" s="37"/>
      <c r="BI9" s="37"/>
      <c r="BJ9" s="37" t="s">
        <v>144</v>
      </c>
      <c r="BK9" s="37"/>
      <c r="BL9" s="37"/>
      <c r="BM9" s="37" t="s">
        <v>144</v>
      </c>
      <c r="BN9" s="37"/>
      <c r="BO9" s="37"/>
      <c r="BP9" s="37" t="s">
        <v>144</v>
      </c>
      <c r="BQ9" s="37"/>
      <c r="BR9" s="37"/>
      <c r="BS9" s="37" t="s">
        <v>144</v>
      </c>
      <c r="BT9" s="37"/>
      <c r="BU9" s="37"/>
      <c r="BV9" s="37" t="s">
        <v>144</v>
      </c>
      <c r="BW9" s="37"/>
      <c r="BX9" s="37"/>
      <c r="BY9" s="37" t="s">
        <v>144</v>
      </c>
      <c r="BZ9" s="37"/>
      <c r="CA9" s="37"/>
      <c r="CB9" s="37" t="s">
        <v>144</v>
      </c>
      <c r="CC9" s="37"/>
      <c r="CD9" s="37"/>
      <c r="CE9" s="37" t="s">
        <v>144</v>
      </c>
      <c r="CF9" s="37"/>
      <c r="CG9" s="37"/>
      <c r="CH9" s="37" t="s">
        <v>144</v>
      </c>
      <c r="CI9" s="37"/>
      <c r="CJ9" s="37"/>
      <c r="CK9" s="37" t="s">
        <v>144</v>
      </c>
      <c r="CL9" s="37"/>
      <c r="CM9" s="37"/>
      <c r="CN9" s="37" t="s">
        <v>144</v>
      </c>
      <c r="CO9" s="2"/>
      <c r="CP9" s="2"/>
    </row>
    <row r="10" ht="13.5" customHeight="1">
      <c r="A10" s="2"/>
      <c r="B10" s="70">
        <f t="shared" si="1"/>
        <v>3</v>
      </c>
      <c r="C10" s="2" t="s">
        <v>145</v>
      </c>
      <c r="D10" s="87"/>
      <c r="E10" s="146">
        <v>28.5</v>
      </c>
      <c r="F10" s="146"/>
      <c r="G10" s="146"/>
      <c r="H10" s="146">
        <v>28.5</v>
      </c>
      <c r="I10" s="146"/>
      <c r="J10" s="146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2"/>
      <c r="CP10" s="2"/>
    </row>
    <row r="11" ht="13.5" customHeight="1">
      <c r="A11" s="2"/>
      <c r="B11" s="70">
        <f t="shared" si="1"/>
        <v>4</v>
      </c>
      <c r="C11" s="17" t="s">
        <v>146</v>
      </c>
      <c r="D11" s="148" t="s">
        <v>147</v>
      </c>
      <c r="E11" s="149">
        <v>55.0</v>
      </c>
      <c r="F11" s="149"/>
      <c r="G11" s="149"/>
      <c r="H11" s="150">
        <f>H12-H10</f>
        <v>57.75</v>
      </c>
      <c r="I11" s="150"/>
      <c r="J11" s="150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151"/>
      <c r="BN11" s="151"/>
      <c r="BO11" s="151"/>
      <c r="BP11" s="151"/>
      <c r="BQ11" s="151"/>
      <c r="BR11" s="151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151"/>
      <c r="CD11" s="151"/>
      <c r="CE11" s="151"/>
      <c r="CF11" s="151"/>
      <c r="CG11" s="151"/>
      <c r="CH11" s="151"/>
      <c r="CI11" s="151"/>
      <c r="CJ11" s="151"/>
      <c r="CK11" s="151"/>
      <c r="CL11" s="151"/>
      <c r="CM11" s="151"/>
      <c r="CN11" s="151"/>
      <c r="CO11" s="2"/>
      <c r="CP11" s="2"/>
    </row>
    <row r="12" ht="13.5" customHeight="1">
      <c r="A12" s="2"/>
      <c r="B12" s="70">
        <f t="shared" si="1"/>
        <v>5</v>
      </c>
      <c r="C12" s="2" t="s">
        <v>148</v>
      </c>
      <c r="D12" s="19">
        <v>0.03</v>
      </c>
      <c r="E12" s="146">
        <f>SUM(E10:E11)</f>
        <v>83.5</v>
      </c>
      <c r="F12" s="146"/>
      <c r="G12" s="146"/>
      <c r="H12" s="152">
        <f>ROUND(E12*(1+$D$12),0)+1-(H15-INT(H15))</f>
        <v>86.25</v>
      </c>
      <c r="I12" s="152"/>
      <c r="J12" s="152"/>
      <c r="K12" s="152">
        <f>ROUND(H12*(1+$D$12),0)+1-(K15-INT(K15))</f>
        <v>90</v>
      </c>
      <c r="L12" s="152"/>
      <c r="M12" s="152"/>
      <c r="N12" s="152">
        <f>ROUND(K12*(1+$D$12),0)+1-(N15-INT(N15))</f>
        <v>93.75</v>
      </c>
      <c r="O12" s="152"/>
      <c r="P12" s="152"/>
      <c r="Q12" s="152">
        <f>ROUND(N12*(1+$D$12),0)+1-(Q15-INT(Q15))</f>
        <v>97.5</v>
      </c>
      <c r="R12" s="152"/>
      <c r="S12" s="152"/>
      <c r="T12" s="152">
        <f>ROUND(Q12*(1+$D$12),0)+1-(T15-INT(T15))</f>
        <v>100.25</v>
      </c>
      <c r="U12" s="152"/>
      <c r="V12" s="152"/>
      <c r="W12" s="152">
        <f>ROUND(T12*(1+$D$12),0)+1-(W15-INT(W15))</f>
        <v>104</v>
      </c>
      <c r="X12" s="152"/>
      <c r="Y12" s="152"/>
      <c r="Z12" s="152">
        <f>ROUND(W12*(1+$D$12),0)+1-(Z15-INT(Z15))</f>
        <v>107.75</v>
      </c>
      <c r="AA12" s="152"/>
      <c r="AB12" s="152"/>
      <c r="AC12" s="152">
        <f>ROUND(Z12*(1+$D$12),0)+1-(AC15-INT(AC15))</f>
        <v>111.5</v>
      </c>
      <c r="AD12" s="152"/>
      <c r="AE12" s="152"/>
      <c r="AF12" s="152">
        <f>ROUND(AC12*(1+$D$12),0)+1-(AF15-INT(AF15))</f>
        <v>115.25</v>
      </c>
      <c r="AG12" s="152"/>
      <c r="AH12" s="152"/>
      <c r="AI12" s="152">
        <f>ROUND(AF12*(1+$D$12),0)+1-(AI15-INT(AI15))</f>
        <v>120</v>
      </c>
      <c r="AJ12" s="152"/>
      <c r="AK12" s="152"/>
      <c r="AL12" s="152">
        <f>ROUND(AI12*(1+$D$12),0)+1-(AL15-INT(AL15))</f>
        <v>124.75</v>
      </c>
      <c r="AM12" s="152"/>
      <c r="AN12" s="152"/>
      <c r="AO12" s="152">
        <f>ROUND(AL12*(1+$D$12),0)+1-(AO15-INT(AO15))</f>
        <v>128.5</v>
      </c>
      <c r="AP12" s="152"/>
      <c r="AQ12" s="152"/>
      <c r="AR12" s="152">
        <f>ROUND(AO12*(1+$D$12),0)+1-(AR15-INT(AR15))</f>
        <v>132.25</v>
      </c>
      <c r="AS12" s="152"/>
      <c r="AT12" s="152"/>
      <c r="AU12" s="152">
        <f>ROUND(AR12*(1+$D$12),0)+1-(AU15-INT(AU15))</f>
        <v>137</v>
      </c>
      <c r="AV12" s="152"/>
      <c r="AW12" s="152"/>
      <c r="AX12" s="152">
        <f>ROUND(AU12*(1+$D$12),0)+1-(AX15-INT(AX15))</f>
        <v>141.75</v>
      </c>
      <c r="AY12" s="152"/>
      <c r="AZ12" s="152"/>
      <c r="BA12" s="152">
        <f>ROUND(AX12*(1+$D$12),0)+1-(BA15-INT(BA15))</f>
        <v>146.5</v>
      </c>
      <c r="BB12" s="152"/>
      <c r="BC12" s="152"/>
      <c r="BD12" s="152">
        <f>ROUND(BA12*(1+$D$12),0)+1-(BD15-INT(BD15))</f>
        <v>152</v>
      </c>
      <c r="BE12" s="152"/>
      <c r="BF12" s="152"/>
      <c r="BG12" s="152">
        <f>ROUND(BD12*(1+$D$12),0)+1-(BG15-INT(BG15))</f>
        <v>157.5</v>
      </c>
      <c r="BH12" s="152"/>
      <c r="BI12" s="152"/>
      <c r="BJ12" s="152">
        <f>ROUND(BG12*(1+$D$12),0)+1-(BJ15-INT(BJ15))</f>
        <v>163</v>
      </c>
      <c r="BK12" s="152"/>
      <c r="BL12" s="152"/>
      <c r="BM12" s="152">
        <f>ROUND(BJ12*(1+$D$12),0)+1-(BM15-INT(BM15))</f>
        <v>168.5</v>
      </c>
      <c r="BN12" s="152"/>
      <c r="BO12" s="152"/>
      <c r="BP12" s="152">
        <f>ROUND(BM12*(1+$D$12),0)+1-(BP15-INT(BP15))</f>
        <v>175</v>
      </c>
      <c r="BQ12" s="152"/>
      <c r="BR12" s="152"/>
      <c r="BS12" s="152">
        <f>ROUND(BP12*(1+$D$12),0)+1-(BS15-INT(BS15))</f>
        <v>180.5</v>
      </c>
      <c r="BT12" s="152"/>
      <c r="BU12" s="152"/>
      <c r="BV12" s="152">
        <f>ROUND(BS12*(1+$D$12),0)+1-(BV15-INT(BV15))</f>
        <v>187</v>
      </c>
      <c r="BW12" s="152"/>
      <c r="BX12" s="152"/>
      <c r="BY12" s="152">
        <f>ROUND(BV12*(1+$D$12),0)+1-(BY15-INT(BY15))</f>
        <v>193.5</v>
      </c>
      <c r="BZ12" s="152"/>
      <c r="CA12" s="152"/>
      <c r="CB12" s="152">
        <f>ROUND(BY12*(1+$D$12),0)+1-(CB15-INT(CB15))</f>
        <v>200</v>
      </c>
      <c r="CC12" s="152"/>
      <c r="CD12" s="152"/>
      <c r="CE12" s="152">
        <f>ROUND(CB12*(1+$D$12),0)+1-(CE15-INT(CE15))</f>
        <v>206.5</v>
      </c>
      <c r="CF12" s="152"/>
      <c r="CG12" s="152"/>
      <c r="CH12" s="152">
        <f>ROUND(CE12*(1+$D$12),0)+1-(CH15-INT(CH15))</f>
        <v>214</v>
      </c>
      <c r="CI12" s="152"/>
      <c r="CJ12" s="152"/>
      <c r="CK12" s="152">
        <f>ROUND(CH12*(1+$D$12),0)+1-(CK15-INT(CK15))</f>
        <v>220.5</v>
      </c>
      <c r="CL12" s="152"/>
      <c r="CM12" s="152"/>
      <c r="CN12" s="152">
        <f>ROUND(CK12*(1+$D$12),0)+1-(CN15-INT(CN15))</f>
        <v>228</v>
      </c>
      <c r="CO12" s="2"/>
      <c r="CP12" s="2"/>
    </row>
    <row r="13" ht="13.5" customHeight="1">
      <c r="A13" s="2"/>
      <c r="B13" s="70">
        <f t="shared" si="1"/>
        <v>6</v>
      </c>
      <c r="C13" s="2"/>
      <c r="D13" s="87"/>
      <c r="E13" s="146"/>
      <c r="F13" s="146"/>
      <c r="G13" s="146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152"/>
      <c r="CM13" s="152"/>
      <c r="CN13" s="152"/>
      <c r="CO13" s="2"/>
      <c r="CP13" s="2"/>
    </row>
    <row r="14" ht="13.5" customHeight="1">
      <c r="A14" s="2"/>
      <c r="B14" s="70">
        <f t="shared" si="1"/>
        <v>7</v>
      </c>
      <c r="C14" s="2"/>
      <c r="D14" s="148" t="s">
        <v>147</v>
      </c>
      <c r="E14" s="146"/>
      <c r="F14" s="146"/>
      <c r="G14" s="146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152"/>
      <c r="CM14" s="152"/>
      <c r="CN14" s="152"/>
      <c r="CO14" s="2"/>
      <c r="CP14" s="2"/>
    </row>
    <row r="15" ht="13.5" customHeight="1">
      <c r="A15" s="2"/>
      <c r="B15" s="70">
        <f t="shared" si="1"/>
        <v>8</v>
      </c>
      <c r="C15" s="2" t="s">
        <v>149</v>
      </c>
      <c r="D15" s="19">
        <v>0.03</v>
      </c>
      <c r="E15" s="153">
        <v>8.5</v>
      </c>
      <c r="F15" s="154"/>
      <c r="G15" s="154"/>
      <c r="H15" s="152">
        <f>MROUND(E15*(1+$D15),0.25)</f>
        <v>8.75</v>
      </c>
      <c r="I15" s="152"/>
      <c r="J15" s="152"/>
      <c r="K15" s="152">
        <f>MROUND(H15*(1+$D15),0.25)</f>
        <v>9</v>
      </c>
      <c r="L15" s="152"/>
      <c r="M15" s="152"/>
      <c r="N15" s="152">
        <f>MROUND(K15*(1+$D15),0.25)</f>
        <v>9.25</v>
      </c>
      <c r="O15" s="152"/>
      <c r="P15" s="152"/>
      <c r="Q15" s="152">
        <f>MROUND(N15*(1+$D15),0.25)</f>
        <v>9.5</v>
      </c>
      <c r="R15" s="152"/>
      <c r="S15" s="152"/>
      <c r="T15" s="152">
        <f>MROUND(Q15*(1+$D15),0.25)</f>
        <v>9.75</v>
      </c>
      <c r="U15" s="152"/>
      <c r="V15" s="152"/>
      <c r="W15" s="152">
        <f>MROUND(T15*(1+$D15),0.25)</f>
        <v>10</v>
      </c>
      <c r="X15" s="152"/>
      <c r="Y15" s="152"/>
      <c r="Z15" s="152">
        <f>MROUND(W15*(1+$D15),0.25)</f>
        <v>10.25</v>
      </c>
      <c r="AA15" s="152"/>
      <c r="AB15" s="152"/>
      <c r="AC15" s="152">
        <f>MROUND(Z15*(1+$D15),0.25)</f>
        <v>10.5</v>
      </c>
      <c r="AD15" s="152"/>
      <c r="AE15" s="152"/>
      <c r="AF15" s="152">
        <f>MROUND(AC15*(1+$D15),0.25)</f>
        <v>10.75</v>
      </c>
      <c r="AG15" s="152"/>
      <c r="AH15" s="152"/>
      <c r="AI15" s="152">
        <f>MROUND(AF15*(1+$D15),0.25)</f>
        <v>11</v>
      </c>
      <c r="AJ15" s="152"/>
      <c r="AK15" s="152"/>
      <c r="AL15" s="152">
        <f>MROUND(AI15*(1+$D15),0.25)</f>
        <v>11.25</v>
      </c>
      <c r="AM15" s="152"/>
      <c r="AN15" s="152"/>
      <c r="AO15" s="152">
        <f>MROUND(AL15*(1+$D15),0.25)</f>
        <v>11.5</v>
      </c>
      <c r="AP15" s="152"/>
      <c r="AQ15" s="152"/>
      <c r="AR15" s="152">
        <f>MROUND(AO15*(1+$D15),0.25)</f>
        <v>11.75</v>
      </c>
      <c r="AS15" s="152"/>
      <c r="AT15" s="152"/>
      <c r="AU15" s="152">
        <f>MROUND(AR15*(1+$D15),0.25)</f>
        <v>12</v>
      </c>
      <c r="AV15" s="152"/>
      <c r="AW15" s="152"/>
      <c r="AX15" s="152">
        <f>MROUND(AU15*(1+$D15),0.25)</f>
        <v>12.25</v>
      </c>
      <c r="AY15" s="152"/>
      <c r="AZ15" s="152"/>
      <c r="BA15" s="152">
        <f>MROUND(AX15*(1+$D15),0.25)</f>
        <v>12.5</v>
      </c>
      <c r="BB15" s="152"/>
      <c r="BC15" s="152"/>
      <c r="BD15" s="152">
        <f>MROUND(BA15*(1+$D15),0.25)</f>
        <v>13</v>
      </c>
      <c r="BE15" s="152"/>
      <c r="BF15" s="152"/>
      <c r="BG15" s="152">
        <f>MROUND(BD15*(1+$D15),0.25)</f>
        <v>13.5</v>
      </c>
      <c r="BH15" s="152"/>
      <c r="BI15" s="152"/>
      <c r="BJ15" s="152">
        <f>MROUND(BG15*(1+$D15),0.25)</f>
        <v>14</v>
      </c>
      <c r="BK15" s="152"/>
      <c r="BL15" s="152"/>
      <c r="BM15" s="152">
        <f>MROUND(BJ15*(1+$D15),0.25)</f>
        <v>14.5</v>
      </c>
      <c r="BN15" s="152"/>
      <c r="BO15" s="152"/>
      <c r="BP15" s="152">
        <f>MROUND(BM15*(1+$D15),0.25)</f>
        <v>15</v>
      </c>
      <c r="BQ15" s="152"/>
      <c r="BR15" s="152"/>
      <c r="BS15" s="152">
        <f>MROUND(BP15*(1+$D15),0.25)</f>
        <v>15.5</v>
      </c>
      <c r="BT15" s="152"/>
      <c r="BU15" s="152"/>
      <c r="BV15" s="152">
        <f>MROUND(BS15*(1+$D15),0.25)</f>
        <v>16</v>
      </c>
      <c r="BW15" s="152"/>
      <c r="BX15" s="152"/>
      <c r="BY15" s="152">
        <f>MROUND(BV15*(1+$D15),0.25)</f>
        <v>16.5</v>
      </c>
      <c r="BZ15" s="152"/>
      <c r="CA15" s="152"/>
      <c r="CB15" s="152">
        <f>MROUND(BY15*(1+$D15),0.25)</f>
        <v>17</v>
      </c>
      <c r="CC15" s="152"/>
      <c r="CD15" s="152"/>
      <c r="CE15" s="152">
        <f>MROUND(CB15*(1+$D15),0.25)</f>
        <v>17.5</v>
      </c>
      <c r="CF15" s="152"/>
      <c r="CG15" s="152"/>
      <c r="CH15" s="152">
        <f>MROUND(CE15*(1+$D15),0.25)</f>
        <v>18</v>
      </c>
      <c r="CI15" s="152"/>
      <c r="CJ15" s="152"/>
      <c r="CK15" s="152">
        <f>MROUND(CH15*(1+$D15),0.25)</f>
        <v>18.5</v>
      </c>
      <c r="CL15" s="152"/>
      <c r="CM15" s="152"/>
      <c r="CN15" s="152">
        <f>MROUND(CK15*(1+$D15),0.25)</f>
        <v>19</v>
      </c>
      <c r="CO15" s="2"/>
      <c r="CP15" s="2"/>
    </row>
    <row r="16" ht="13.5" customHeight="1">
      <c r="A16" s="2"/>
      <c r="B16" s="70">
        <f t="shared" si="1"/>
        <v>9</v>
      </c>
      <c r="C16" s="2"/>
      <c r="D16" s="87"/>
      <c r="E16" s="146"/>
      <c r="F16" s="146"/>
      <c r="G16" s="146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2"/>
      <c r="CP16" s="2"/>
    </row>
    <row r="17" ht="13.5" customHeight="1">
      <c r="A17" s="2"/>
      <c r="B17" s="70">
        <f t="shared" si="1"/>
        <v>10</v>
      </c>
      <c r="C17" s="2"/>
      <c r="D17" s="148" t="s">
        <v>147</v>
      </c>
      <c r="E17" s="146"/>
      <c r="F17" s="146"/>
      <c r="G17" s="146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2"/>
      <c r="CP17" s="2"/>
    </row>
    <row r="18" ht="13.5" customHeight="1">
      <c r="A18" s="2"/>
      <c r="B18" s="70">
        <f t="shared" si="1"/>
        <v>11</v>
      </c>
      <c r="C18" s="2" t="s">
        <v>150</v>
      </c>
      <c r="D18" s="155">
        <f>'Model Summary'!CP66</f>
        <v>0.06044</v>
      </c>
      <c r="E18" s="153">
        <v>54.0</v>
      </c>
      <c r="F18" s="154"/>
      <c r="G18" s="154"/>
      <c r="H18" s="152">
        <f>ROUND(E18*(1+$D$18),0)</f>
        <v>57</v>
      </c>
      <c r="I18" s="152"/>
      <c r="J18" s="152"/>
      <c r="K18" s="152">
        <f>ROUND(H18*(1+$D$18),0)</f>
        <v>60</v>
      </c>
      <c r="L18" s="152"/>
      <c r="M18" s="152"/>
      <c r="N18" s="152">
        <f>ROUND(K18*(1+$D$18),0)</f>
        <v>64</v>
      </c>
      <c r="O18" s="152"/>
      <c r="P18" s="152"/>
      <c r="Q18" s="152">
        <f>ROUND(N18*(1+$D$18),0)</f>
        <v>68</v>
      </c>
      <c r="R18" s="152"/>
      <c r="S18" s="152"/>
      <c r="T18" s="152">
        <f>ROUND(Q18*(1+$D$18),0)</f>
        <v>72</v>
      </c>
      <c r="U18" s="152"/>
      <c r="V18" s="152"/>
      <c r="W18" s="152">
        <f>ROUND(T18*(1+$D$18),0)</f>
        <v>76</v>
      </c>
      <c r="X18" s="152"/>
      <c r="Y18" s="152"/>
      <c r="Z18" s="152">
        <f>ROUND(W18*(1+$D$18),0)</f>
        <v>81</v>
      </c>
      <c r="AA18" s="152"/>
      <c r="AB18" s="152"/>
      <c r="AC18" s="152">
        <f>ROUND(Z18*(1+$D$18),0)</f>
        <v>86</v>
      </c>
      <c r="AD18" s="152"/>
      <c r="AE18" s="152"/>
      <c r="AF18" s="152">
        <f>ROUND(AC18*(1+$D$18),0)</f>
        <v>91</v>
      </c>
      <c r="AG18" s="152"/>
      <c r="AH18" s="152"/>
      <c r="AI18" s="152">
        <f>ROUND(AF18*(1+$D$18),0)</f>
        <v>97</v>
      </c>
      <c r="AJ18" s="152"/>
      <c r="AK18" s="152"/>
      <c r="AL18" s="152">
        <f>ROUND(AI18*(1+$D$18),0)</f>
        <v>103</v>
      </c>
      <c r="AM18" s="152"/>
      <c r="AN18" s="152"/>
      <c r="AO18" s="152">
        <f>ROUND(AL18*(1+$D$18),0)</f>
        <v>109</v>
      </c>
      <c r="AP18" s="152"/>
      <c r="AQ18" s="152"/>
      <c r="AR18" s="152">
        <f>ROUND(AO18*(1+$D$18),0)</f>
        <v>116</v>
      </c>
      <c r="AS18" s="152"/>
      <c r="AT18" s="152"/>
      <c r="AU18" s="152">
        <f>ROUND(AR18*(1+$D$18),0)</f>
        <v>123</v>
      </c>
      <c r="AV18" s="152"/>
      <c r="AW18" s="152"/>
      <c r="AX18" s="152">
        <f>ROUND(AU18*(1+$D$18),0)</f>
        <v>130</v>
      </c>
      <c r="AY18" s="152"/>
      <c r="AZ18" s="152"/>
      <c r="BA18" s="152">
        <f>ROUND(AX18*(1+$D$18),0)</f>
        <v>138</v>
      </c>
      <c r="BB18" s="152"/>
      <c r="BC18" s="152"/>
      <c r="BD18" s="152">
        <f>ROUND(BA18*(1+$D$18),0)</f>
        <v>146</v>
      </c>
      <c r="BE18" s="152"/>
      <c r="BF18" s="152"/>
      <c r="BG18" s="152">
        <f>ROUND(BD18*(1+$D$18),0)</f>
        <v>155</v>
      </c>
      <c r="BH18" s="152"/>
      <c r="BI18" s="152"/>
      <c r="BJ18" s="152">
        <f>ROUND(BG18*(1+$D$18),0)</f>
        <v>164</v>
      </c>
      <c r="BK18" s="152"/>
      <c r="BL18" s="152"/>
      <c r="BM18" s="152">
        <f>ROUND(BJ18*(1+$D$18),0)</f>
        <v>174</v>
      </c>
      <c r="BN18" s="152"/>
      <c r="BO18" s="152"/>
      <c r="BP18" s="152">
        <f>ROUND(BM18*(1+$D$18),0)</f>
        <v>185</v>
      </c>
      <c r="BQ18" s="152"/>
      <c r="BR18" s="152"/>
      <c r="BS18" s="152">
        <f>ROUND(BP18*(1+$D$18),0)</f>
        <v>196</v>
      </c>
      <c r="BT18" s="152"/>
      <c r="BU18" s="152"/>
      <c r="BV18" s="152">
        <f>ROUND(BS18*(1+$D$18),0)</f>
        <v>208</v>
      </c>
      <c r="BW18" s="152"/>
      <c r="BX18" s="152"/>
      <c r="BY18" s="152">
        <f>ROUND(BV18*(1+$D$18),0)</f>
        <v>221</v>
      </c>
      <c r="BZ18" s="152"/>
      <c r="CA18" s="152"/>
      <c r="CB18" s="152">
        <f>ROUND(BY18*(1+$D$18),0)</f>
        <v>234</v>
      </c>
      <c r="CC18" s="152"/>
      <c r="CD18" s="152"/>
      <c r="CE18" s="152">
        <f>ROUND(CB18*(1+$D$18),0)</f>
        <v>248</v>
      </c>
      <c r="CF18" s="152"/>
      <c r="CG18" s="152"/>
      <c r="CH18" s="152">
        <f>ROUND(CE18*(1+$D$18),0)</f>
        <v>263</v>
      </c>
      <c r="CI18" s="152"/>
      <c r="CJ18" s="152"/>
      <c r="CK18" s="152">
        <f>ROUND(CH18*(1+$D$18),0)</f>
        <v>279</v>
      </c>
      <c r="CL18" s="152"/>
      <c r="CM18" s="152"/>
      <c r="CN18" s="152">
        <f>ROUND(CK18*(1+$D$18),0)</f>
        <v>296</v>
      </c>
      <c r="CO18" s="2"/>
      <c r="CP18" s="2"/>
    </row>
    <row r="19" ht="13.5" customHeight="1">
      <c r="A19" s="2"/>
      <c r="B19" s="70">
        <f t="shared" si="1"/>
        <v>12</v>
      </c>
      <c r="C19" s="17"/>
      <c r="D19" s="17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6"/>
      <c r="CN19" s="156"/>
      <c r="CO19" s="2"/>
      <c r="CP19" s="2"/>
    </row>
    <row r="20" ht="18.75" customHeight="1">
      <c r="A20" s="2"/>
      <c r="B20" s="70">
        <f t="shared" si="1"/>
        <v>13</v>
      </c>
      <c r="C20" s="157" t="s">
        <v>151</v>
      </c>
      <c r="D20" s="158"/>
      <c r="E20" s="159">
        <f>E12+E15+E18</f>
        <v>146</v>
      </c>
      <c r="F20" s="159"/>
      <c r="G20" s="159"/>
      <c r="H20" s="159">
        <f>H12+H15+H18</f>
        <v>152</v>
      </c>
      <c r="I20" s="159"/>
      <c r="J20" s="159"/>
      <c r="K20" s="159">
        <f>K12+K15+K18</f>
        <v>159</v>
      </c>
      <c r="L20" s="159"/>
      <c r="M20" s="159"/>
      <c r="N20" s="159">
        <f>N12+N15+N18</f>
        <v>167</v>
      </c>
      <c r="O20" s="159"/>
      <c r="P20" s="159"/>
      <c r="Q20" s="159">
        <f>Q12+Q15+Q18</f>
        <v>175</v>
      </c>
      <c r="R20" s="159"/>
      <c r="S20" s="159"/>
      <c r="T20" s="159">
        <f>T12+T15+T18</f>
        <v>182</v>
      </c>
      <c r="U20" s="159"/>
      <c r="V20" s="159"/>
      <c r="W20" s="159">
        <f>W12+W15+W18</f>
        <v>190</v>
      </c>
      <c r="X20" s="159"/>
      <c r="Y20" s="159"/>
      <c r="Z20" s="159">
        <f>Z12+Z15+Z18</f>
        <v>199</v>
      </c>
      <c r="AA20" s="159"/>
      <c r="AB20" s="159"/>
      <c r="AC20" s="159">
        <f>AC12+AC15+AC18</f>
        <v>208</v>
      </c>
      <c r="AD20" s="159"/>
      <c r="AE20" s="159"/>
      <c r="AF20" s="159">
        <f>AF12+AF15+AF18</f>
        <v>217</v>
      </c>
      <c r="AG20" s="159"/>
      <c r="AH20" s="159"/>
      <c r="AI20" s="159">
        <f>AI12+AI15+AI18</f>
        <v>228</v>
      </c>
      <c r="AJ20" s="159"/>
      <c r="AK20" s="159"/>
      <c r="AL20" s="159">
        <f>AL12+AL15+AL18</f>
        <v>239</v>
      </c>
      <c r="AM20" s="159"/>
      <c r="AN20" s="159"/>
      <c r="AO20" s="159">
        <f>AO12+AO15+AO18</f>
        <v>249</v>
      </c>
      <c r="AP20" s="159"/>
      <c r="AQ20" s="159"/>
      <c r="AR20" s="159">
        <f>AR12+AR15+AR18</f>
        <v>260</v>
      </c>
      <c r="AS20" s="159"/>
      <c r="AT20" s="159"/>
      <c r="AU20" s="159">
        <f>AU12+AU15+AU18</f>
        <v>272</v>
      </c>
      <c r="AV20" s="159"/>
      <c r="AW20" s="159"/>
      <c r="AX20" s="159">
        <f>AX12+AX15+AX18</f>
        <v>284</v>
      </c>
      <c r="AY20" s="159"/>
      <c r="AZ20" s="159"/>
      <c r="BA20" s="159">
        <f>BA12+BA15+BA18</f>
        <v>297</v>
      </c>
      <c r="BB20" s="159"/>
      <c r="BC20" s="159"/>
      <c r="BD20" s="159">
        <f>BD12+BD15+BD18</f>
        <v>311</v>
      </c>
      <c r="BE20" s="159"/>
      <c r="BF20" s="159"/>
      <c r="BG20" s="159">
        <f>BG12+BG15+BG18</f>
        <v>326</v>
      </c>
      <c r="BH20" s="159"/>
      <c r="BI20" s="159"/>
      <c r="BJ20" s="159">
        <f>BJ12+BJ15+BJ18</f>
        <v>341</v>
      </c>
      <c r="BK20" s="159"/>
      <c r="BL20" s="159"/>
      <c r="BM20" s="159">
        <f>BM12+BM15+BM18</f>
        <v>357</v>
      </c>
      <c r="BN20" s="159"/>
      <c r="BO20" s="159"/>
      <c r="BP20" s="159">
        <f>BP12+BP15+BP18</f>
        <v>375</v>
      </c>
      <c r="BQ20" s="159"/>
      <c r="BR20" s="159"/>
      <c r="BS20" s="159">
        <f>BS12+BS15+BS18</f>
        <v>392</v>
      </c>
      <c r="BT20" s="159"/>
      <c r="BU20" s="159"/>
      <c r="BV20" s="159">
        <f>BV12+BV15+BV18</f>
        <v>411</v>
      </c>
      <c r="BW20" s="159"/>
      <c r="BX20" s="159"/>
      <c r="BY20" s="159">
        <f>BY12+BY15+BY18</f>
        <v>431</v>
      </c>
      <c r="BZ20" s="159"/>
      <c r="CA20" s="159"/>
      <c r="CB20" s="159">
        <f>CB12+CB15+CB18</f>
        <v>451</v>
      </c>
      <c r="CC20" s="159"/>
      <c r="CD20" s="159"/>
      <c r="CE20" s="159">
        <f>CE12+CE15+CE18</f>
        <v>472</v>
      </c>
      <c r="CF20" s="159"/>
      <c r="CG20" s="159"/>
      <c r="CH20" s="159">
        <f>CH12+CH15+CH18</f>
        <v>495</v>
      </c>
      <c r="CI20" s="159"/>
      <c r="CJ20" s="159"/>
      <c r="CK20" s="159">
        <f>CK12+CK15+CK18</f>
        <v>518</v>
      </c>
      <c r="CL20" s="159"/>
      <c r="CM20" s="159"/>
      <c r="CN20" s="159">
        <f>CN12+CN15+CN18</f>
        <v>543</v>
      </c>
      <c r="CO20" s="2"/>
      <c r="CP20" s="2"/>
    </row>
    <row r="21" ht="13.5" customHeight="1">
      <c r="A21" s="2"/>
      <c r="B21" s="70">
        <f t="shared" si="1"/>
        <v>14</v>
      </c>
      <c r="C21" s="2" t="s">
        <v>152</v>
      </c>
      <c r="D21" s="2"/>
      <c r="E21" s="87" t="s">
        <v>99</v>
      </c>
      <c r="F21" s="87"/>
      <c r="G21" s="87"/>
      <c r="H21" s="160">
        <f>(H20-E20)/E20</f>
        <v>0.04109589041</v>
      </c>
      <c r="I21" s="160"/>
      <c r="J21" s="160"/>
      <c r="K21" s="160">
        <f>(K20-H20)/H20</f>
        <v>0.04605263158</v>
      </c>
      <c r="L21" s="160"/>
      <c r="M21" s="160"/>
      <c r="N21" s="160">
        <f>(N20-K20)/K20</f>
        <v>0.05031446541</v>
      </c>
      <c r="O21" s="160"/>
      <c r="P21" s="160"/>
      <c r="Q21" s="160">
        <f>(Q20-N20)/N20</f>
        <v>0.04790419162</v>
      </c>
      <c r="R21" s="160"/>
      <c r="S21" s="160"/>
      <c r="T21" s="160">
        <f>(T20-Q20)/Q20</f>
        <v>0.04</v>
      </c>
      <c r="U21" s="160"/>
      <c r="V21" s="160"/>
      <c r="W21" s="160">
        <f>(W20-T20)/T20</f>
        <v>0.04395604396</v>
      </c>
      <c r="X21" s="160"/>
      <c r="Y21" s="160"/>
      <c r="Z21" s="160">
        <f>(Z20-W20)/W20</f>
        <v>0.04736842105</v>
      </c>
      <c r="AA21" s="160"/>
      <c r="AB21" s="160"/>
      <c r="AC21" s="160">
        <f>(AC20-Z20)/Z20</f>
        <v>0.04522613065</v>
      </c>
      <c r="AD21" s="160"/>
      <c r="AE21" s="160"/>
      <c r="AF21" s="160">
        <f>(AF20-AC20)/AC20</f>
        <v>0.04326923077</v>
      </c>
      <c r="AG21" s="160"/>
      <c r="AH21" s="160"/>
      <c r="AI21" s="160">
        <f>(AI20-AF20)/AF20</f>
        <v>0.05069124424</v>
      </c>
      <c r="AJ21" s="160"/>
      <c r="AK21" s="160"/>
      <c r="AL21" s="160">
        <f>(AL20-AI20)/AI20</f>
        <v>0.04824561404</v>
      </c>
      <c r="AM21" s="160"/>
      <c r="AN21" s="160"/>
      <c r="AO21" s="160">
        <f>(AO20-AL20)/AL20</f>
        <v>0.04184100418</v>
      </c>
      <c r="AP21" s="160"/>
      <c r="AQ21" s="160"/>
      <c r="AR21" s="160">
        <f>(AR20-AO20)/AO20</f>
        <v>0.04417670683</v>
      </c>
      <c r="AS21" s="160"/>
      <c r="AT21" s="160"/>
      <c r="AU21" s="160">
        <f>(AU20-AR20)/AR20</f>
        <v>0.04615384615</v>
      </c>
      <c r="AV21" s="160"/>
      <c r="AW21" s="160"/>
      <c r="AX21" s="160">
        <f>(AX20-AU20)/AU20</f>
        <v>0.04411764706</v>
      </c>
      <c r="AY21" s="160"/>
      <c r="AZ21" s="160"/>
      <c r="BA21" s="160">
        <f>(BA20-AX20)/AX20</f>
        <v>0.04577464789</v>
      </c>
      <c r="BB21" s="160"/>
      <c r="BC21" s="160"/>
      <c r="BD21" s="160">
        <f>(BD20-BA20)/BA20</f>
        <v>0.04713804714</v>
      </c>
      <c r="BE21" s="160"/>
      <c r="BF21" s="160"/>
      <c r="BG21" s="160">
        <f>(BG20-BD20)/BD20</f>
        <v>0.04823151125</v>
      </c>
      <c r="BH21" s="160"/>
      <c r="BI21" s="160"/>
      <c r="BJ21" s="160">
        <f>(BJ20-BG20)/BG20</f>
        <v>0.04601226994</v>
      </c>
      <c r="BK21" s="160"/>
      <c r="BL21" s="160"/>
      <c r="BM21" s="160">
        <f>(BM20-BJ20)/BJ20</f>
        <v>0.04692082111</v>
      </c>
      <c r="BN21" s="160"/>
      <c r="BO21" s="160"/>
      <c r="BP21" s="160">
        <f>(BP20-BM20)/BM20</f>
        <v>0.05042016807</v>
      </c>
      <c r="BQ21" s="160"/>
      <c r="BR21" s="160"/>
      <c r="BS21" s="160">
        <f>(BS20-BP20)/BP20</f>
        <v>0.04533333333</v>
      </c>
      <c r="BT21" s="160"/>
      <c r="BU21" s="160"/>
      <c r="BV21" s="160">
        <f>(BV20-BS20)/BS20</f>
        <v>0.04846938776</v>
      </c>
      <c r="BW21" s="160"/>
      <c r="BX21" s="160"/>
      <c r="BY21" s="160">
        <f>(BY20-BV20)/BV20</f>
        <v>0.04866180049</v>
      </c>
      <c r="BZ21" s="160"/>
      <c r="CA21" s="160"/>
      <c r="CB21" s="160">
        <f>(CB20-BY20)/BY20</f>
        <v>0.0464037123</v>
      </c>
      <c r="CC21" s="160"/>
      <c r="CD21" s="160"/>
      <c r="CE21" s="160">
        <f>(CE20-CB20)/CB20</f>
        <v>0.0465631929</v>
      </c>
      <c r="CF21" s="160"/>
      <c r="CG21" s="160"/>
      <c r="CH21" s="160">
        <f>(CH20-CE20)/CE20</f>
        <v>0.04872881356</v>
      </c>
      <c r="CI21" s="160"/>
      <c r="CJ21" s="160"/>
      <c r="CK21" s="160">
        <f>(CK20-CH20)/CH20</f>
        <v>0.04646464646</v>
      </c>
      <c r="CL21" s="160"/>
      <c r="CM21" s="160"/>
      <c r="CN21" s="160">
        <f>(CN20-CK20)/CK20</f>
        <v>0.04826254826</v>
      </c>
      <c r="CO21" s="2"/>
      <c r="CP21" s="2"/>
    </row>
    <row r="22" ht="13.5" customHeight="1">
      <c r="A22" s="2"/>
      <c r="B22" s="70">
        <f t="shared" si="1"/>
        <v>15</v>
      </c>
      <c r="C22" s="2"/>
      <c r="D22" s="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2"/>
      <c r="CP22" s="2"/>
    </row>
    <row r="23" ht="18.0" customHeight="1">
      <c r="A23" s="2"/>
      <c r="B23" s="70">
        <f t="shared" si="1"/>
        <v>16</v>
      </c>
      <c r="C23" s="144"/>
      <c r="D23" s="2"/>
      <c r="E23" s="32" t="s">
        <v>11</v>
      </c>
      <c r="F23" s="32"/>
      <c r="G23" s="32"/>
      <c r="H23" s="32" t="s">
        <v>12</v>
      </c>
      <c r="I23" s="32"/>
      <c r="J23" s="32"/>
      <c r="K23" s="32" t="s">
        <v>14</v>
      </c>
      <c r="L23" s="32"/>
      <c r="M23" s="32"/>
      <c r="N23" s="32" t="s">
        <v>16</v>
      </c>
      <c r="O23" s="32"/>
      <c r="P23" s="32"/>
      <c r="Q23" s="32" t="s">
        <v>17</v>
      </c>
      <c r="R23" s="32"/>
      <c r="S23" s="32"/>
      <c r="T23" s="32" t="s">
        <v>18</v>
      </c>
      <c r="U23" s="32"/>
      <c r="V23" s="32"/>
      <c r="W23" s="32" t="s">
        <v>19</v>
      </c>
      <c r="X23" s="32"/>
      <c r="Y23" s="32"/>
      <c r="Z23" s="32" t="s">
        <v>20</v>
      </c>
      <c r="AA23" s="32"/>
      <c r="AB23" s="32"/>
      <c r="AC23" s="32" t="s">
        <v>21</v>
      </c>
      <c r="AD23" s="32"/>
      <c r="AE23" s="32"/>
      <c r="AF23" s="32" t="s">
        <v>22</v>
      </c>
      <c r="AG23" s="32"/>
      <c r="AH23" s="32"/>
      <c r="AI23" s="32" t="s">
        <v>23</v>
      </c>
      <c r="AJ23" s="32"/>
      <c r="AK23" s="32"/>
      <c r="AL23" s="32" t="s">
        <v>24</v>
      </c>
      <c r="AM23" s="32"/>
      <c r="AN23" s="32"/>
      <c r="AO23" s="32" t="s">
        <v>25</v>
      </c>
      <c r="AP23" s="32"/>
      <c r="AQ23" s="32"/>
      <c r="AR23" s="32" t="s">
        <v>26</v>
      </c>
      <c r="AS23" s="32"/>
      <c r="AT23" s="32"/>
      <c r="AU23" s="32" t="s">
        <v>27</v>
      </c>
      <c r="AV23" s="32"/>
      <c r="AW23" s="32"/>
      <c r="AX23" s="32" t="s">
        <v>28</v>
      </c>
      <c r="AY23" s="32"/>
      <c r="AZ23" s="32"/>
      <c r="BA23" s="32" t="s">
        <v>29</v>
      </c>
      <c r="BB23" s="32"/>
      <c r="BC23" s="32"/>
      <c r="BD23" s="32" t="s">
        <v>30</v>
      </c>
      <c r="BE23" s="32"/>
      <c r="BF23" s="32"/>
      <c r="BG23" s="32" t="s">
        <v>31</v>
      </c>
      <c r="BH23" s="32"/>
      <c r="BI23" s="32"/>
      <c r="BJ23" s="32" t="s">
        <v>32</v>
      </c>
      <c r="BK23" s="32"/>
      <c r="BL23" s="32"/>
      <c r="BM23" s="32" t="s">
        <v>33</v>
      </c>
      <c r="BN23" s="32"/>
      <c r="BO23" s="32"/>
      <c r="BP23" s="32" t="s">
        <v>34</v>
      </c>
      <c r="BQ23" s="32"/>
      <c r="BR23" s="32"/>
      <c r="BS23" s="32" t="s">
        <v>35</v>
      </c>
      <c r="BT23" s="32"/>
      <c r="BU23" s="32"/>
      <c r="BV23" s="32" t="s">
        <v>36</v>
      </c>
      <c r="BW23" s="32"/>
      <c r="BX23" s="32"/>
      <c r="BY23" s="32" t="s">
        <v>37</v>
      </c>
      <c r="BZ23" s="32"/>
      <c r="CA23" s="32"/>
      <c r="CB23" s="32" t="s">
        <v>38</v>
      </c>
      <c r="CC23" s="32"/>
      <c r="CD23" s="32"/>
      <c r="CE23" s="32" t="s">
        <v>39</v>
      </c>
      <c r="CF23" s="32"/>
      <c r="CG23" s="32"/>
      <c r="CH23" s="32" t="s">
        <v>40</v>
      </c>
      <c r="CI23" s="32"/>
      <c r="CJ23" s="32"/>
      <c r="CK23" s="32" t="s">
        <v>41</v>
      </c>
      <c r="CL23" s="32"/>
      <c r="CM23" s="32"/>
      <c r="CN23" s="32" t="s">
        <v>42</v>
      </c>
      <c r="CO23" s="2"/>
      <c r="CP23" s="2"/>
    </row>
    <row r="24" ht="18.0" customHeight="1">
      <c r="A24" s="2"/>
      <c r="B24" s="70">
        <f t="shared" si="1"/>
        <v>17</v>
      </c>
      <c r="C24" s="145" t="s">
        <v>153</v>
      </c>
      <c r="D24" s="17"/>
      <c r="E24" s="37" t="s">
        <v>4</v>
      </c>
      <c r="F24" s="37"/>
      <c r="G24" s="37"/>
      <c r="H24" s="37" t="s">
        <v>4</v>
      </c>
      <c r="I24" s="37"/>
      <c r="J24" s="37"/>
      <c r="K24" s="37" t="s">
        <v>4</v>
      </c>
      <c r="L24" s="37"/>
      <c r="M24" s="37"/>
      <c r="N24" s="37" t="s">
        <v>4</v>
      </c>
      <c r="O24" s="37"/>
      <c r="P24" s="37"/>
      <c r="Q24" s="37" t="s">
        <v>4</v>
      </c>
      <c r="R24" s="37"/>
      <c r="S24" s="37"/>
      <c r="T24" s="37" t="s">
        <v>4</v>
      </c>
      <c r="U24" s="37"/>
      <c r="V24" s="37"/>
      <c r="W24" s="37" t="s">
        <v>4</v>
      </c>
      <c r="X24" s="37"/>
      <c r="Y24" s="37"/>
      <c r="Z24" s="37" t="s">
        <v>4</v>
      </c>
      <c r="AA24" s="37"/>
      <c r="AB24" s="37"/>
      <c r="AC24" s="37" t="s">
        <v>4</v>
      </c>
      <c r="AD24" s="37"/>
      <c r="AE24" s="37"/>
      <c r="AF24" s="37" t="s">
        <v>4</v>
      </c>
      <c r="AG24" s="37"/>
      <c r="AH24" s="37"/>
      <c r="AI24" s="37" t="s">
        <v>4</v>
      </c>
      <c r="AJ24" s="37"/>
      <c r="AK24" s="37"/>
      <c r="AL24" s="37" t="s">
        <v>4</v>
      </c>
      <c r="AM24" s="37"/>
      <c r="AN24" s="37"/>
      <c r="AO24" s="37" t="s">
        <v>4</v>
      </c>
      <c r="AP24" s="37"/>
      <c r="AQ24" s="37"/>
      <c r="AR24" s="37" t="s">
        <v>4</v>
      </c>
      <c r="AS24" s="37"/>
      <c r="AT24" s="37"/>
      <c r="AU24" s="37" t="s">
        <v>4</v>
      </c>
      <c r="AV24" s="37"/>
      <c r="AW24" s="37"/>
      <c r="AX24" s="37" t="s">
        <v>4</v>
      </c>
      <c r="AY24" s="37"/>
      <c r="AZ24" s="37"/>
      <c r="BA24" s="37" t="s">
        <v>4</v>
      </c>
      <c r="BB24" s="37"/>
      <c r="BC24" s="37"/>
      <c r="BD24" s="37" t="s">
        <v>4</v>
      </c>
      <c r="BE24" s="37"/>
      <c r="BF24" s="37"/>
      <c r="BG24" s="37" t="s">
        <v>4</v>
      </c>
      <c r="BH24" s="37"/>
      <c r="BI24" s="37"/>
      <c r="BJ24" s="37" t="s">
        <v>4</v>
      </c>
      <c r="BK24" s="37"/>
      <c r="BL24" s="37"/>
      <c r="BM24" s="37" t="s">
        <v>4</v>
      </c>
      <c r="BN24" s="37"/>
      <c r="BO24" s="37"/>
      <c r="BP24" s="37" t="s">
        <v>4</v>
      </c>
      <c r="BQ24" s="37"/>
      <c r="BR24" s="37"/>
      <c r="BS24" s="37" t="s">
        <v>4</v>
      </c>
      <c r="BT24" s="37"/>
      <c r="BU24" s="37"/>
      <c r="BV24" s="37" t="s">
        <v>4</v>
      </c>
      <c r="BW24" s="37"/>
      <c r="BX24" s="37"/>
      <c r="BY24" s="37" t="s">
        <v>4</v>
      </c>
      <c r="BZ24" s="37"/>
      <c r="CA24" s="37"/>
      <c r="CB24" s="37" t="s">
        <v>4</v>
      </c>
      <c r="CC24" s="37"/>
      <c r="CD24" s="37"/>
      <c r="CE24" s="37" t="s">
        <v>4</v>
      </c>
      <c r="CF24" s="37"/>
      <c r="CG24" s="37"/>
      <c r="CH24" s="37" t="s">
        <v>4</v>
      </c>
      <c r="CI24" s="37"/>
      <c r="CJ24" s="37"/>
      <c r="CK24" s="37" t="s">
        <v>4</v>
      </c>
      <c r="CL24" s="37"/>
      <c r="CM24" s="37"/>
      <c r="CN24" s="37" t="s">
        <v>4</v>
      </c>
      <c r="CO24" s="2"/>
      <c r="CP24" s="2"/>
    </row>
    <row r="25" ht="13.5" customHeight="1">
      <c r="A25" s="2"/>
      <c r="B25" s="70">
        <f t="shared" si="1"/>
        <v>18</v>
      </c>
      <c r="C25" s="2" t="s">
        <v>154</v>
      </c>
      <c r="D25" s="2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U25" s="161"/>
      <c r="BV25" s="161"/>
      <c r="BW25" s="161"/>
      <c r="BX25" s="161"/>
      <c r="BY25" s="161"/>
      <c r="BZ25" s="161"/>
      <c r="CA25" s="161"/>
      <c r="CB25" s="161"/>
      <c r="CC25" s="161"/>
      <c r="CD25" s="161"/>
      <c r="CE25" s="161"/>
      <c r="CF25" s="161"/>
      <c r="CG25" s="161"/>
      <c r="CH25" s="161"/>
      <c r="CI25" s="161"/>
      <c r="CJ25" s="161"/>
      <c r="CK25" s="161"/>
      <c r="CL25" s="161"/>
      <c r="CM25" s="161"/>
      <c r="CN25" s="161"/>
      <c r="CO25" s="2"/>
      <c r="CP25" s="2"/>
    </row>
    <row r="26" ht="13.5" customHeight="1">
      <c r="A26" s="2"/>
      <c r="B26" s="70">
        <f t="shared" si="1"/>
        <v>19</v>
      </c>
      <c r="C26" s="17" t="s">
        <v>155</v>
      </c>
      <c r="D26" s="17"/>
      <c r="E26" s="149">
        <v>55.0</v>
      </c>
      <c r="F26" s="149"/>
      <c r="G26" s="149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2"/>
      <c r="CP26" s="2"/>
    </row>
    <row r="27" ht="13.5" customHeight="1">
      <c r="A27" s="2"/>
      <c r="B27" s="70">
        <f t="shared" si="1"/>
        <v>20</v>
      </c>
      <c r="C27" s="2" t="s">
        <v>156</v>
      </c>
      <c r="D27" s="2"/>
      <c r="E27" s="163">
        <f>E33-E31-E29</f>
        <v>60.5</v>
      </c>
      <c r="F27" s="146"/>
      <c r="G27" s="146"/>
      <c r="H27" s="164">
        <f t="shared" ref="H27:CN27" si="2">H33-H31-H29</f>
        <v>62.25</v>
      </c>
      <c r="I27" s="164">
        <f t="shared" si="2"/>
        <v>0</v>
      </c>
      <c r="J27" s="164">
        <f t="shared" si="2"/>
        <v>0</v>
      </c>
      <c r="K27" s="164">
        <f t="shared" si="2"/>
        <v>65</v>
      </c>
      <c r="L27" s="164">
        <f t="shared" si="2"/>
        <v>0</v>
      </c>
      <c r="M27" s="164">
        <f t="shared" si="2"/>
        <v>0</v>
      </c>
      <c r="N27" s="164">
        <f t="shared" si="2"/>
        <v>67.75</v>
      </c>
      <c r="O27" s="164">
        <f t="shared" si="2"/>
        <v>0</v>
      </c>
      <c r="P27" s="164">
        <f t="shared" si="2"/>
        <v>0</v>
      </c>
      <c r="Q27" s="164">
        <f t="shared" si="2"/>
        <v>70.5</v>
      </c>
      <c r="R27" s="164">
        <f t="shared" si="2"/>
        <v>0</v>
      </c>
      <c r="S27" s="164">
        <f t="shared" si="2"/>
        <v>0</v>
      </c>
      <c r="T27" s="164">
        <f t="shared" si="2"/>
        <v>73.25</v>
      </c>
      <c r="U27" s="164">
        <f t="shared" si="2"/>
        <v>0</v>
      </c>
      <c r="V27" s="164">
        <f t="shared" si="2"/>
        <v>0</v>
      </c>
      <c r="W27" s="164">
        <f t="shared" si="2"/>
        <v>76</v>
      </c>
      <c r="X27" s="164">
        <f t="shared" si="2"/>
        <v>0</v>
      </c>
      <c r="Y27" s="164">
        <f t="shared" si="2"/>
        <v>0</v>
      </c>
      <c r="Z27" s="164">
        <f t="shared" si="2"/>
        <v>77.75</v>
      </c>
      <c r="AA27" s="164">
        <f t="shared" si="2"/>
        <v>0</v>
      </c>
      <c r="AB27" s="164">
        <f t="shared" si="2"/>
        <v>0</v>
      </c>
      <c r="AC27" s="164">
        <f t="shared" si="2"/>
        <v>80.5</v>
      </c>
      <c r="AD27" s="164">
        <f t="shared" si="2"/>
        <v>0</v>
      </c>
      <c r="AE27" s="164">
        <f t="shared" si="2"/>
        <v>0</v>
      </c>
      <c r="AF27" s="164">
        <f t="shared" si="2"/>
        <v>84.25</v>
      </c>
      <c r="AG27" s="164">
        <f t="shared" si="2"/>
        <v>0</v>
      </c>
      <c r="AH27" s="164">
        <f t="shared" si="2"/>
        <v>0</v>
      </c>
      <c r="AI27" s="164">
        <f t="shared" si="2"/>
        <v>87</v>
      </c>
      <c r="AJ27" s="164">
        <f t="shared" si="2"/>
        <v>0</v>
      </c>
      <c r="AK27" s="164">
        <f t="shared" si="2"/>
        <v>0</v>
      </c>
      <c r="AL27" s="164">
        <f t="shared" si="2"/>
        <v>90.75</v>
      </c>
      <c r="AM27" s="164">
        <f t="shared" si="2"/>
        <v>0</v>
      </c>
      <c r="AN27" s="164">
        <f t="shared" si="2"/>
        <v>0</v>
      </c>
      <c r="AO27" s="164">
        <f t="shared" si="2"/>
        <v>93.5</v>
      </c>
      <c r="AP27" s="164">
        <f t="shared" si="2"/>
        <v>0</v>
      </c>
      <c r="AQ27" s="164">
        <f t="shared" si="2"/>
        <v>0</v>
      </c>
      <c r="AR27" s="164">
        <f t="shared" si="2"/>
        <v>96.25</v>
      </c>
      <c r="AS27" s="164">
        <f t="shared" si="2"/>
        <v>0</v>
      </c>
      <c r="AT27" s="164">
        <f t="shared" si="2"/>
        <v>0</v>
      </c>
      <c r="AU27" s="164">
        <f t="shared" si="2"/>
        <v>100</v>
      </c>
      <c r="AV27" s="164">
        <f t="shared" si="2"/>
        <v>0</v>
      </c>
      <c r="AW27" s="164">
        <f t="shared" si="2"/>
        <v>0</v>
      </c>
      <c r="AX27" s="164">
        <f t="shared" si="2"/>
        <v>102.75</v>
      </c>
      <c r="AY27" s="164">
        <f t="shared" si="2"/>
        <v>0</v>
      </c>
      <c r="AZ27" s="164">
        <f t="shared" si="2"/>
        <v>0</v>
      </c>
      <c r="BA27" s="164">
        <f t="shared" si="2"/>
        <v>106.5</v>
      </c>
      <c r="BB27" s="164">
        <f t="shared" si="2"/>
        <v>0</v>
      </c>
      <c r="BC27" s="164">
        <f t="shared" si="2"/>
        <v>0</v>
      </c>
      <c r="BD27" s="164">
        <f t="shared" si="2"/>
        <v>110</v>
      </c>
      <c r="BE27" s="164">
        <f t="shared" si="2"/>
        <v>0</v>
      </c>
      <c r="BF27" s="164">
        <f t="shared" si="2"/>
        <v>0</v>
      </c>
      <c r="BG27" s="164">
        <f t="shared" si="2"/>
        <v>115.5</v>
      </c>
      <c r="BH27" s="164">
        <f t="shared" si="2"/>
        <v>0</v>
      </c>
      <c r="BI27" s="164">
        <f t="shared" si="2"/>
        <v>0</v>
      </c>
      <c r="BJ27" s="164">
        <f t="shared" si="2"/>
        <v>119</v>
      </c>
      <c r="BK27" s="164">
        <f t="shared" si="2"/>
        <v>0</v>
      </c>
      <c r="BL27" s="164">
        <f t="shared" si="2"/>
        <v>0</v>
      </c>
      <c r="BM27" s="164">
        <f t="shared" si="2"/>
        <v>122.5</v>
      </c>
      <c r="BN27" s="164">
        <f t="shared" si="2"/>
        <v>0</v>
      </c>
      <c r="BO27" s="164">
        <f t="shared" si="2"/>
        <v>0</v>
      </c>
      <c r="BP27" s="164">
        <f t="shared" si="2"/>
        <v>127</v>
      </c>
      <c r="BQ27" s="164">
        <f t="shared" si="2"/>
        <v>0</v>
      </c>
      <c r="BR27" s="164">
        <f t="shared" si="2"/>
        <v>0</v>
      </c>
      <c r="BS27" s="164">
        <f t="shared" si="2"/>
        <v>131.5</v>
      </c>
      <c r="BT27" s="164">
        <f t="shared" si="2"/>
        <v>0</v>
      </c>
      <c r="BU27" s="164">
        <f t="shared" si="2"/>
        <v>0</v>
      </c>
      <c r="BV27" s="164">
        <f t="shared" si="2"/>
        <v>136</v>
      </c>
      <c r="BW27" s="164">
        <f t="shared" si="2"/>
        <v>0</v>
      </c>
      <c r="BX27" s="164">
        <f t="shared" si="2"/>
        <v>0</v>
      </c>
      <c r="BY27" s="164">
        <f t="shared" si="2"/>
        <v>140.5</v>
      </c>
      <c r="BZ27" s="164">
        <f t="shared" si="2"/>
        <v>0</v>
      </c>
      <c r="CA27" s="164">
        <f t="shared" si="2"/>
        <v>0</v>
      </c>
      <c r="CB27" s="164">
        <f t="shared" si="2"/>
        <v>145</v>
      </c>
      <c r="CC27" s="164">
        <f t="shared" si="2"/>
        <v>0</v>
      </c>
      <c r="CD27" s="164">
        <f t="shared" si="2"/>
        <v>0</v>
      </c>
      <c r="CE27" s="164">
        <f t="shared" si="2"/>
        <v>150.5</v>
      </c>
      <c r="CF27" s="164">
        <f t="shared" si="2"/>
        <v>0</v>
      </c>
      <c r="CG27" s="164">
        <f t="shared" si="2"/>
        <v>0</v>
      </c>
      <c r="CH27" s="164">
        <f t="shared" si="2"/>
        <v>156</v>
      </c>
      <c r="CI27" s="164">
        <f t="shared" si="2"/>
        <v>0</v>
      </c>
      <c r="CJ27" s="164">
        <f t="shared" si="2"/>
        <v>0</v>
      </c>
      <c r="CK27" s="164">
        <f t="shared" si="2"/>
        <v>161.5</v>
      </c>
      <c r="CL27" s="164">
        <f t="shared" si="2"/>
        <v>0</v>
      </c>
      <c r="CM27" s="164">
        <f t="shared" si="2"/>
        <v>0</v>
      </c>
      <c r="CN27" s="164">
        <f t="shared" si="2"/>
        <v>166</v>
      </c>
      <c r="CO27" s="2"/>
      <c r="CP27" s="2"/>
    </row>
    <row r="28" ht="13.5" customHeight="1">
      <c r="A28" s="2"/>
      <c r="B28" s="70">
        <f t="shared" si="1"/>
        <v>21</v>
      </c>
      <c r="C28" s="2"/>
      <c r="D28" s="148"/>
      <c r="E28" s="146"/>
      <c r="F28" s="146"/>
      <c r="G28" s="146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  <c r="CF28" s="152"/>
      <c r="CG28" s="152"/>
      <c r="CH28" s="152"/>
      <c r="CI28" s="152"/>
      <c r="CJ28" s="152"/>
      <c r="CK28" s="152"/>
      <c r="CL28" s="152"/>
      <c r="CM28" s="152"/>
      <c r="CN28" s="152"/>
      <c r="CO28" s="2"/>
      <c r="CP28" s="2"/>
    </row>
    <row r="29" ht="13.5" customHeight="1">
      <c r="A29" s="2"/>
      <c r="B29" s="70">
        <f t="shared" si="1"/>
        <v>22</v>
      </c>
      <c r="C29" s="2" t="s">
        <v>149</v>
      </c>
      <c r="D29" s="148"/>
      <c r="E29" s="165">
        <v>8.5</v>
      </c>
      <c r="F29" s="166"/>
      <c r="G29" s="166"/>
      <c r="H29" s="152">
        <f>H15</f>
        <v>8.75</v>
      </c>
      <c r="I29" s="152"/>
      <c r="J29" s="152"/>
      <c r="K29" s="152">
        <f>K15</f>
        <v>9</v>
      </c>
      <c r="L29" s="152"/>
      <c r="M29" s="152"/>
      <c r="N29" s="152">
        <f>N15</f>
        <v>9.25</v>
      </c>
      <c r="O29" s="152"/>
      <c r="P29" s="152"/>
      <c r="Q29" s="152">
        <f>Q15</f>
        <v>9.5</v>
      </c>
      <c r="R29" s="152"/>
      <c r="S29" s="152"/>
      <c r="T29" s="152">
        <f>T15</f>
        <v>9.75</v>
      </c>
      <c r="U29" s="152"/>
      <c r="V29" s="152"/>
      <c r="W29" s="152">
        <f>W15</f>
        <v>10</v>
      </c>
      <c r="X29" s="152"/>
      <c r="Y29" s="152"/>
      <c r="Z29" s="152">
        <f>Z15</f>
        <v>10.25</v>
      </c>
      <c r="AA29" s="152"/>
      <c r="AB29" s="152"/>
      <c r="AC29" s="152">
        <f>AC15</f>
        <v>10.5</v>
      </c>
      <c r="AD29" s="152"/>
      <c r="AE29" s="152"/>
      <c r="AF29" s="152">
        <f>AF15</f>
        <v>10.75</v>
      </c>
      <c r="AG29" s="152"/>
      <c r="AH29" s="152"/>
      <c r="AI29" s="152">
        <f>AI15</f>
        <v>11</v>
      </c>
      <c r="AJ29" s="152"/>
      <c r="AK29" s="152"/>
      <c r="AL29" s="152">
        <f>AL15</f>
        <v>11.25</v>
      </c>
      <c r="AM29" s="152"/>
      <c r="AN29" s="152"/>
      <c r="AO29" s="152">
        <f>AO15</f>
        <v>11.5</v>
      </c>
      <c r="AP29" s="152"/>
      <c r="AQ29" s="152"/>
      <c r="AR29" s="152">
        <f>AR15</f>
        <v>11.75</v>
      </c>
      <c r="AS29" s="152"/>
      <c r="AT29" s="152"/>
      <c r="AU29" s="152">
        <f>AU15</f>
        <v>12</v>
      </c>
      <c r="AV29" s="152"/>
      <c r="AW29" s="152"/>
      <c r="AX29" s="152">
        <f>AX15</f>
        <v>12.25</v>
      </c>
      <c r="AY29" s="152"/>
      <c r="AZ29" s="152"/>
      <c r="BA29" s="152">
        <f>BA15</f>
        <v>12.5</v>
      </c>
      <c r="BB29" s="152"/>
      <c r="BC29" s="152"/>
      <c r="BD29" s="152">
        <f>BD15</f>
        <v>13</v>
      </c>
      <c r="BE29" s="152"/>
      <c r="BF29" s="152"/>
      <c r="BG29" s="152">
        <f>BG15</f>
        <v>13.5</v>
      </c>
      <c r="BH29" s="152"/>
      <c r="BI29" s="152"/>
      <c r="BJ29" s="152">
        <f>BJ15</f>
        <v>14</v>
      </c>
      <c r="BK29" s="152"/>
      <c r="BL29" s="152"/>
      <c r="BM29" s="152">
        <f>BM15</f>
        <v>14.5</v>
      </c>
      <c r="BN29" s="152"/>
      <c r="BO29" s="152"/>
      <c r="BP29" s="152">
        <f>BP15</f>
        <v>15</v>
      </c>
      <c r="BQ29" s="152"/>
      <c r="BR29" s="152"/>
      <c r="BS29" s="152">
        <f>BS15</f>
        <v>15.5</v>
      </c>
      <c r="BT29" s="152"/>
      <c r="BU29" s="152"/>
      <c r="BV29" s="152">
        <f>BV15</f>
        <v>16</v>
      </c>
      <c r="BW29" s="152"/>
      <c r="BX29" s="152"/>
      <c r="BY29" s="152">
        <f>BY15</f>
        <v>16.5</v>
      </c>
      <c r="BZ29" s="152"/>
      <c r="CA29" s="152"/>
      <c r="CB29" s="152">
        <f>CB15</f>
        <v>17</v>
      </c>
      <c r="CC29" s="152"/>
      <c r="CD29" s="152"/>
      <c r="CE29" s="152">
        <f>CE15</f>
        <v>17.5</v>
      </c>
      <c r="CF29" s="152"/>
      <c r="CG29" s="152"/>
      <c r="CH29" s="152">
        <f>CH15</f>
        <v>18</v>
      </c>
      <c r="CI29" s="152"/>
      <c r="CJ29" s="152"/>
      <c r="CK29" s="152">
        <f>CK15</f>
        <v>18.5</v>
      </c>
      <c r="CL29" s="152"/>
      <c r="CM29" s="152"/>
      <c r="CN29" s="152">
        <f>CN15</f>
        <v>19</v>
      </c>
      <c r="CO29" s="2"/>
      <c r="CP29" s="2"/>
    </row>
    <row r="30" ht="13.5" customHeight="1">
      <c r="A30" s="2"/>
      <c r="B30" s="70">
        <f t="shared" si="1"/>
        <v>23</v>
      </c>
      <c r="C30" s="2"/>
      <c r="D30" s="148"/>
      <c r="E30" s="146"/>
      <c r="F30" s="146"/>
      <c r="G30" s="146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2"/>
      <c r="CP30" s="2"/>
    </row>
    <row r="31" ht="13.5" customHeight="1">
      <c r="A31" s="2"/>
      <c r="B31" s="70">
        <f t="shared" si="1"/>
        <v>24</v>
      </c>
      <c r="C31" s="2" t="s">
        <v>150</v>
      </c>
      <c r="D31" s="148"/>
      <c r="E31" s="167">
        <f>ROUND(E18*0.75,0)</f>
        <v>41</v>
      </c>
      <c r="F31" s="168" t="str">
        <f t="shared" ref="F31:G31" si="3">F18</f>
        <v/>
      </c>
      <c r="G31" s="168" t="str">
        <f t="shared" si="3"/>
        <v/>
      </c>
      <c r="H31" s="164">
        <f t="shared" ref="H31:CN31" si="4">ROUND(H18*0.75,0)</f>
        <v>43</v>
      </c>
      <c r="I31" s="164">
        <f t="shared" si="4"/>
        <v>0</v>
      </c>
      <c r="J31" s="164">
        <f t="shared" si="4"/>
        <v>0</v>
      </c>
      <c r="K31" s="164">
        <f t="shared" si="4"/>
        <v>45</v>
      </c>
      <c r="L31" s="164">
        <f t="shared" si="4"/>
        <v>0</v>
      </c>
      <c r="M31" s="164">
        <f t="shared" si="4"/>
        <v>0</v>
      </c>
      <c r="N31" s="164">
        <f t="shared" si="4"/>
        <v>48</v>
      </c>
      <c r="O31" s="164">
        <f t="shared" si="4"/>
        <v>0</v>
      </c>
      <c r="P31" s="164">
        <f t="shared" si="4"/>
        <v>0</v>
      </c>
      <c r="Q31" s="164">
        <f t="shared" si="4"/>
        <v>51</v>
      </c>
      <c r="R31" s="164">
        <f t="shared" si="4"/>
        <v>0</v>
      </c>
      <c r="S31" s="164">
        <f t="shared" si="4"/>
        <v>0</v>
      </c>
      <c r="T31" s="164">
        <f t="shared" si="4"/>
        <v>54</v>
      </c>
      <c r="U31" s="164">
        <f t="shared" si="4"/>
        <v>0</v>
      </c>
      <c r="V31" s="164">
        <f t="shared" si="4"/>
        <v>0</v>
      </c>
      <c r="W31" s="164">
        <f t="shared" si="4"/>
        <v>57</v>
      </c>
      <c r="X31" s="164">
        <f t="shared" si="4"/>
        <v>0</v>
      </c>
      <c r="Y31" s="164">
        <f t="shared" si="4"/>
        <v>0</v>
      </c>
      <c r="Z31" s="164">
        <f t="shared" si="4"/>
        <v>61</v>
      </c>
      <c r="AA31" s="164">
        <f t="shared" si="4"/>
        <v>0</v>
      </c>
      <c r="AB31" s="164">
        <f t="shared" si="4"/>
        <v>0</v>
      </c>
      <c r="AC31" s="164">
        <f t="shared" si="4"/>
        <v>65</v>
      </c>
      <c r="AD31" s="164">
        <f t="shared" si="4"/>
        <v>0</v>
      </c>
      <c r="AE31" s="164">
        <f t="shared" si="4"/>
        <v>0</v>
      </c>
      <c r="AF31" s="164">
        <f t="shared" si="4"/>
        <v>68</v>
      </c>
      <c r="AG31" s="164">
        <f t="shared" si="4"/>
        <v>0</v>
      </c>
      <c r="AH31" s="164">
        <f t="shared" si="4"/>
        <v>0</v>
      </c>
      <c r="AI31" s="164">
        <f t="shared" si="4"/>
        <v>73</v>
      </c>
      <c r="AJ31" s="164">
        <f t="shared" si="4"/>
        <v>0</v>
      </c>
      <c r="AK31" s="164">
        <f t="shared" si="4"/>
        <v>0</v>
      </c>
      <c r="AL31" s="164">
        <f t="shared" si="4"/>
        <v>77</v>
      </c>
      <c r="AM31" s="164">
        <f t="shared" si="4"/>
        <v>0</v>
      </c>
      <c r="AN31" s="164">
        <f t="shared" si="4"/>
        <v>0</v>
      </c>
      <c r="AO31" s="164">
        <f t="shared" si="4"/>
        <v>82</v>
      </c>
      <c r="AP31" s="164">
        <f t="shared" si="4"/>
        <v>0</v>
      </c>
      <c r="AQ31" s="164">
        <f t="shared" si="4"/>
        <v>0</v>
      </c>
      <c r="AR31" s="164">
        <f t="shared" si="4"/>
        <v>87</v>
      </c>
      <c r="AS31" s="164">
        <f t="shared" si="4"/>
        <v>0</v>
      </c>
      <c r="AT31" s="164">
        <f t="shared" si="4"/>
        <v>0</v>
      </c>
      <c r="AU31" s="164">
        <f t="shared" si="4"/>
        <v>92</v>
      </c>
      <c r="AV31" s="164">
        <f t="shared" si="4"/>
        <v>0</v>
      </c>
      <c r="AW31" s="164">
        <f t="shared" si="4"/>
        <v>0</v>
      </c>
      <c r="AX31" s="164">
        <f t="shared" si="4"/>
        <v>98</v>
      </c>
      <c r="AY31" s="164">
        <f t="shared" si="4"/>
        <v>0</v>
      </c>
      <c r="AZ31" s="164">
        <f t="shared" si="4"/>
        <v>0</v>
      </c>
      <c r="BA31" s="164">
        <f t="shared" si="4"/>
        <v>104</v>
      </c>
      <c r="BB31" s="164">
        <f t="shared" si="4"/>
        <v>0</v>
      </c>
      <c r="BC31" s="164">
        <f t="shared" si="4"/>
        <v>0</v>
      </c>
      <c r="BD31" s="164">
        <f t="shared" si="4"/>
        <v>110</v>
      </c>
      <c r="BE31" s="164">
        <f t="shared" si="4"/>
        <v>0</v>
      </c>
      <c r="BF31" s="164">
        <f t="shared" si="4"/>
        <v>0</v>
      </c>
      <c r="BG31" s="164">
        <f t="shared" si="4"/>
        <v>116</v>
      </c>
      <c r="BH31" s="164">
        <f t="shared" si="4"/>
        <v>0</v>
      </c>
      <c r="BI31" s="164">
        <f t="shared" si="4"/>
        <v>0</v>
      </c>
      <c r="BJ31" s="164">
        <f t="shared" si="4"/>
        <v>123</v>
      </c>
      <c r="BK31" s="164">
        <f t="shared" si="4"/>
        <v>0</v>
      </c>
      <c r="BL31" s="164">
        <f t="shared" si="4"/>
        <v>0</v>
      </c>
      <c r="BM31" s="164">
        <f t="shared" si="4"/>
        <v>131</v>
      </c>
      <c r="BN31" s="164">
        <f t="shared" si="4"/>
        <v>0</v>
      </c>
      <c r="BO31" s="164">
        <f t="shared" si="4"/>
        <v>0</v>
      </c>
      <c r="BP31" s="164">
        <f t="shared" si="4"/>
        <v>139</v>
      </c>
      <c r="BQ31" s="164">
        <f t="shared" si="4"/>
        <v>0</v>
      </c>
      <c r="BR31" s="164">
        <f t="shared" si="4"/>
        <v>0</v>
      </c>
      <c r="BS31" s="164">
        <f t="shared" si="4"/>
        <v>147</v>
      </c>
      <c r="BT31" s="164">
        <f t="shared" si="4"/>
        <v>0</v>
      </c>
      <c r="BU31" s="164">
        <f t="shared" si="4"/>
        <v>0</v>
      </c>
      <c r="BV31" s="164">
        <f t="shared" si="4"/>
        <v>156</v>
      </c>
      <c r="BW31" s="164">
        <f t="shared" si="4"/>
        <v>0</v>
      </c>
      <c r="BX31" s="164">
        <f t="shared" si="4"/>
        <v>0</v>
      </c>
      <c r="BY31" s="164">
        <f t="shared" si="4"/>
        <v>166</v>
      </c>
      <c r="BZ31" s="164">
        <f t="shared" si="4"/>
        <v>0</v>
      </c>
      <c r="CA31" s="164">
        <f t="shared" si="4"/>
        <v>0</v>
      </c>
      <c r="CB31" s="164">
        <f t="shared" si="4"/>
        <v>176</v>
      </c>
      <c r="CC31" s="164">
        <f t="shared" si="4"/>
        <v>0</v>
      </c>
      <c r="CD31" s="164">
        <f t="shared" si="4"/>
        <v>0</v>
      </c>
      <c r="CE31" s="164">
        <f t="shared" si="4"/>
        <v>186</v>
      </c>
      <c r="CF31" s="164">
        <f t="shared" si="4"/>
        <v>0</v>
      </c>
      <c r="CG31" s="164">
        <f t="shared" si="4"/>
        <v>0</v>
      </c>
      <c r="CH31" s="164">
        <f t="shared" si="4"/>
        <v>197</v>
      </c>
      <c r="CI31" s="164">
        <f t="shared" si="4"/>
        <v>0</v>
      </c>
      <c r="CJ31" s="164">
        <f t="shared" si="4"/>
        <v>0</v>
      </c>
      <c r="CK31" s="164">
        <f t="shared" si="4"/>
        <v>209</v>
      </c>
      <c r="CL31" s="164">
        <f t="shared" si="4"/>
        <v>0</v>
      </c>
      <c r="CM31" s="164">
        <f t="shared" si="4"/>
        <v>0</v>
      </c>
      <c r="CN31" s="164">
        <f t="shared" si="4"/>
        <v>222</v>
      </c>
      <c r="CO31" s="2"/>
      <c r="CP31" s="2"/>
    </row>
    <row r="32" ht="13.5" customHeight="1">
      <c r="A32" s="2"/>
      <c r="B32" s="70">
        <f t="shared" si="1"/>
        <v>25</v>
      </c>
      <c r="C32" s="17"/>
      <c r="D32" s="17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/>
      <c r="CD32" s="156"/>
      <c r="CE32" s="156"/>
      <c r="CF32" s="156"/>
      <c r="CG32" s="156"/>
      <c r="CH32" s="156"/>
      <c r="CI32" s="156"/>
      <c r="CJ32" s="156"/>
      <c r="CK32" s="156"/>
      <c r="CL32" s="156"/>
      <c r="CM32" s="156"/>
      <c r="CN32" s="156"/>
      <c r="CO32" s="2"/>
      <c r="CP32" s="2"/>
    </row>
    <row r="33" ht="18.75" customHeight="1">
      <c r="A33" s="2"/>
      <c r="B33" s="70">
        <f t="shared" si="1"/>
        <v>26</v>
      </c>
      <c r="C33" s="157" t="s">
        <v>157</v>
      </c>
      <c r="D33" s="158"/>
      <c r="E33" s="169">
        <f t="shared" ref="E33:CN33" si="5">ROUND(E20*0.75,0)</f>
        <v>110</v>
      </c>
      <c r="F33" s="169">
        <f t="shared" si="5"/>
        <v>0</v>
      </c>
      <c r="G33" s="169">
        <f t="shared" si="5"/>
        <v>0</v>
      </c>
      <c r="H33" s="169">
        <f t="shared" si="5"/>
        <v>114</v>
      </c>
      <c r="I33" s="169">
        <f t="shared" si="5"/>
        <v>0</v>
      </c>
      <c r="J33" s="169">
        <f t="shared" si="5"/>
        <v>0</v>
      </c>
      <c r="K33" s="169">
        <f t="shared" si="5"/>
        <v>119</v>
      </c>
      <c r="L33" s="169">
        <f t="shared" si="5"/>
        <v>0</v>
      </c>
      <c r="M33" s="169">
        <f t="shared" si="5"/>
        <v>0</v>
      </c>
      <c r="N33" s="169">
        <f t="shared" si="5"/>
        <v>125</v>
      </c>
      <c r="O33" s="169">
        <f t="shared" si="5"/>
        <v>0</v>
      </c>
      <c r="P33" s="169">
        <f t="shared" si="5"/>
        <v>0</v>
      </c>
      <c r="Q33" s="169">
        <f t="shared" si="5"/>
        <v>131</v>
      </c>
      <c r="R33" s="169">
        <f t="shared" si="5"/>
        <v>0</v>
      </c>
      <c r="S33" s="169">
        <f t="shared" si="5"/>
        <v>0</v>
      </c>
      <c r="T33" s="169">
        <f t="shared" si="5"/>
        <v>137</v>
      </c>
      <c r="U33" s="169">
        <f t="shared" si="5"/>
        <v>0</v>
      </c>
      <c r="V33" s="169">
        <f t="shared" si="5"/>
        <v>0</v>
      </c>
      <c r="W33" s="169">
        <f t="shared" si="5"/>
        <v>143</v>
      </c>
      <c r="X33" s="169">
        <f t="shared" si="5"/>
        <v>0</v>
      </c>
      <c r="Y33" s="169">
        <f t="shared" si="5"/>
        <v>0</v>
      </c>
      <c r="Z33" s="169">
        <f t="shared" si="5"/>
        <v>149</v>
      </c>
      <c r="AA33" s="169">
        <f t="shared" si="5"/>
        <v>0</v>
      </c>
      <c r="AB33" s="169">
        <f t="shared" si="5"/>
        <v>0</v>
      </c>
      <c r="AC33" s="169">
        <f t="shared" si="5"/>
        <v>156</v>
      </c>
      <c r="AD33" s="169">
        <f t="shared" si="5"/>
        <v>0</v>
      </c>
      <c r="AE33" s="169">
        <f t="shared" si="5"/>
        <v>0</v>
      </c>
      <c r="AF33" s="169">
        <f t="shared" si="5"/>
        <v>163</v>
      </c>
      <c r="AG33" s="169">
        <f t="shared" si="5"/>
        <v>0</v>
      </c>
      <c r="AH33" s="169">
        <f t="shared" si="5"/>
        <v>0</v>
      </c>
      <c r="AI33" s="169">
        <f t="shared" si="5"/>
        <v>171</v>
      </c>
      <c r="AJ33" s="169">
        <f t="shared" si="5"/>
        <v>0</v>
      </c>
      <c r="AK33" s="169">
        <f t="shared" si="5"/>
        <v>0</v>
      </c>
      <c r="AL33" s="169">
        <f t="shared" si="5"/>
        <v>179</v>
      </c>
      <c r="AM33" s="169">
        <f t="shared" si="5"/>
        <v>0</v>
      </c>
      <c r="AN33" s="169">
        <f t="shared" si="5"/>
        <v>0</v>
      </c>
      <c r="AO33" s="169">
        <f t="shared" si="5"/>
        <v>187</v>
      </c>
      <c r="AP33" s="169">
        <f t="shared" si="5"/>
        <v>0</v>
      </c>
      <c r="AQ33" s="169">
        <f t="shared" si="5"/>
        <v>0</v>
      </c>
      <c r="AR33" s="169">
        <f t="shared" si="5"/>
        <v>195</v>
      </c>
      <c r="AS33" s="169">
        <f t="shared" si="5"/>
        <v>0</v>
      </c>
      <c r="AT33" s="169">
        <f t="shared" si="5"/>
        <v>0</v>
      </c>
      <c r="AU33" s="169">
        <f t="shared" si="5"/>
        <v>204</v>
      </c>
      <c r="AV33" s="169">
        <f t="shared" si="5"/>
        <v>0</v>
      </c>
      <c r="AW33" s="169">
        <f t="shared" si="5"/>
        <v>0</v>
      </c>
      <c r="AX33" s="169">
        <f t="shared" si="5"/>
        <v>213</v>
      </c>
      <c r="AY33" s="169">
        <f t="shared" si="5"/>
        <v>0</v>
      </c>
      <c r="AZ33" s="169">
        <f t="shared" si="5"/>
        <v>0</v>
      </c>
      <c r="BA33" s="169">
        <f t="shared" si="5"/>
        <v>223</v>
      </c>
      <c r="BB33" s="169">
        <f t="shared" si="5"/>
        <v>0</v>
      </c>
      <c r="BC33" s="169">
        <f t="shared" si="5"/>
        <v>0</v>
      </c>
      <c r="BD33" s="169">
        <f t="shared" si="5"/>
        <v>233</v>
      </c>
      <c r="BE33" s="169">
        <f t="shared" si="5"/>
        <v>0</v>
      </c>
      <c r="BF33" s="169">
        <f t="shared" si="5"/>
        <v>0</v>
      </c>
      <c r="BG33" s="169">
        <f t="shared" si="5"/>
        <v>245</v>
      </c>
      <c r="BH33" s="169">
        <f t="shared" si="5"/>
        <v>0</v>
      </c>
      <c r="BI33" s="169">
        <f t="shared" si="5"/>
        <v>0</v>
      </c>
      <c r="BJ33" s="169">
        <f t="shared" si="5"/>
        <v>256</v>
      </c>
      <c r="BK33" s="169">
        <f t="shared" si="5"/>
        <v>0</v>
      </c>
      <c r="BL33" s="169">
        <f t="shared" si="5"/>
        <v>0</v>
      </c>
      <c r="BM33" s="169">
        <f t="shared" si="5"/>
        <v>268</v>
      </c>
      <c r="BN33" s="169">
        <f t="shared" si="5"/>
        <v>0</v>
      </c>
      <c r="BO33" s="169">
        <f t="shared" si="5"/>
        <v>0</v>
      </c>
      <c r="BP33" s="169">
        <f t="shared" si="5"/>
        <v>281</v>
      </c>
      <c r="BQ33" s="169">
        <f t="shared" si="5"/>
        <v>0</v>
      </c>
      <c r="BR33" s="169">
        <f t="shared" si="5"/>
        <v>0</v>
      </c>
      <c r="BS33" s="169">
        <f t="shared" si="5"/>
        <v>294</v>
      </c>
      <c r="BT33" s="169">
        <f t="shared" si="5"/>
        <v>0</v>
      </c>
      <c r="BU33" s="169">
        <f t="shared" si="5"/>
        <v>0</v>
      </c>
      <c r="BV33" s="169">
        <f t="shared" si="5"/>
        <v>308</v>
      </c>
      <c r="BW33" s="169">
        <f t="shared" si="5"/>
        <v>0</v>
      </c>
      <c r="BX33" s="169">
        <f t="shared" si="5"/>
        <v>0</v>
      </c>
      <c r="BY33" s="169">
        <f t="shared" si="5"/>
        <v>323</v>
      </c>
      <c r="BZ33" s="169">
        <f t="shared" si="5"/>
        <v>0</v>
      </c>
      <c r="CA33" s="169">
        <f t="shared" si="5"/>
        <v>0</v>
      </c>
      <c r="CB33" s="169">
        <f t="shared" si="5"/>
        <v>338</v>
      </c>
      <c r="CC33" s="169">
        <f t="shared" si="5"/>
        <v>0</v>
      </c>
      <c r="CD33" s="169">
        <f t="shared" si="5"/>
        <v>0</v>
      </c>
      <c r="CE33" s="169">
        <f t="shared" si="5"/>
        <v>354</v>
      </c>
      <c r="CF33" s="169">
        <f t="shared" si="5"/>
        <v>0</v>
      </c>
      <c r="CG33" s="169">
        <f t="shared" si="5"/>
        <v>0</v>
      </c>
      <c r="CH33" s="169">
        <f t="shared" si="5"/>
        <v>371</v>
      </c>
      <c r="CI33" s="169">
        <f t="shared" si="5"/>
        <v>0</v>
      </c>
      <c r="CJ33" s="169">
        <f t="shared" si="5"/>
        <v>0</v>
      </c>
      <c r="CK33" s="169">
        <f t="shared" si="5"/>
        <v>389</v>
      </c>
      <c r="CL33" s="169">
        <f t="shared" si="5"/>
        <v>0</v>
      </c>
      <c r="CM33" s="169">
        <f t="shared" si="5"/>
        <v>0</v>
      </c>
      <c r="CN33" s="169">
        <f t="shared" si="5"/>
        <v>407</v>
      </c>
      <c r="CO33" s="2"/>
      <c r="CP33" s="2"/>
    </row>
    <row r="34" ht="13.5" customHeight="1">
      <c r="A34" s="2"/>
      <c r="B34" s="70">
        <f t="shared" si="1"/>
        <v>27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</row>
    <row r="35" ht="18.0" customHeight="1">
      <c r="A35" s="2"/>
      <c r="B35" s="70">
        <f t="shared" si="1"/>
        <v>28</v>
      </c>
      <c r="C35" s="170" t="s">
        <v>158</v>
      </c>
      <c r="D35" s="17"/>
      <c r="E35" s="37" t="s">
        <v>11</v>
      </c>
      <c r="F35" s="37"/>
      <c r="G35" s="37"/>
      <c r="H35" s="37" t="s">
        <v>12</v>
      </c>
      <c r="I35" s="37"/>
      <c r="J35" s="37"/>
      <c r="K35" s="37" t="s">
        <v>14</v>
      </c>
      <c r="L35" s="37"/>
      <c r="M35" s="37"/>
      <c r="N35" s="37" t="s">
        <v>16</v>
      </c>
      <c r="O35" s="37"/>
      <c r="P35" s="37"/>
      <c r="Q35" s="37" t="s">
        <v>17</v>
      </c>
      <c r="R35" s="37"/>
      <c r="S35" s="37"/>
      <c r="T35" s="37" t="s">
        <v>18</v>
      </c>
      <c r="U35" s="37"/>
      <c r="V35" s="37"/>
      <c r="W35" s="37" t="s">
        <v>19</v>
      </c>
      <c r="X35" s="37"/>
      <c r="Y35" s="37"/>
      <c r="Z35" s="37" t="s">
        <v>20</v>
      </c>
      <c r="AA35" s="37"/>
      <c r="AB35" s="37"/>
      <c r="AC35" s="37" t="s">
        <v>21</v>
      </c>
      <c r="AD35" s="37"/>
      <c r="AE35" s="37"/>
      <c r="AF35" s="37" t="s">
        <v>22</v>
      </c>
      <c r="AG35" s="37"/>
      <c r="AH35" s="37"/>
      <c r="AI35" s="37" t="s">
        <v>23</v>
      </c>
      <c r="AJ35" s="37"/>
      <c r="AK35" s="37"/>
      <c r="AL35" s="37" t="s">
        <v>24</v>
      </c>
      <c r="AM35" s="37"/>
      <c r="AN35" s="37"/>
      <c r="AO35" s="37" t="s">
        <v>25</v>
      </c>
      <c r="AP35" s="37"/>
      <c r="AQ35" s="37"/>
      <c r="AR35" s="37" t="s">
        <v>26</v>
      </c>
      <c r="AS35" s="37"/>
      <c r="AT35" s="37"/>
      <c r="AU35" s="37" t="s">
        <v>27</v>
      </c>
      <c r="AV35" s="37"/>
      <c r="AW35" s="37"/>
      <c r="AX35" s="37" t="s">
        <v>28</v>
      </c>
      <c r="AY35" s="37"/>
      <c r="AZ35" s="37"/>
      <c r="BA35" s="37" t="s">
        <v>29</v>
      </c>
      <c r="BB35" s="37"/>
      <c r="BC35" s="37"/>
      <c r="BD35" s="37" t="s">
        <v>30</v>
      </c>
      <c r="BE35" s="37"/>
      <c r="BF35" s="37"/>
      <c r="BG35" s="37" t="s">
        <v>31</v>
      </c>
      <c r="BH35" s="37"/>
      <c r="BI35" s="37"/>
      <c r="BJ35" s="37" t="s">
        <v>32</v>
      </c>
      <c r="BK35" s="37"/>
      <c r="BL35" s="37"/>
      <c r="BM35" s="37" t="s">
        <v>33</v>
      </c>
      <c r="BN35" s="37"/>
      <c r="BO35" s="37"/>
      <c r="BP35" s="37" t="s">
        <v>34</v>
      </c>
      <c r="BQ35" s="37"/>
      <c r="BR35" s="37"/>
      <c r="BS35" s="37" t="s">
        <v>35</v>
      </c>
      <c r="BT35" s="37"/>
      <c r="BU35" s="37"/>
      <c r="BV35" s="37" t="s">
        <v>36</v>
      </c>
      <c r="BW35" s="37"/>
      <c r="BX35" s="37"/>
      <c r="BY35" s="37" t="s">
        <v>37</v>
      </c>
      <c r="BZ35" s="37"/>
      <c r="CA35" s="37"/>
      <c r="CB35" s="37" t="s">
        <v>38</v>
      </c>
      <c r="CC35" s="37"/>
      <c r="CD35" s="37"/>
      <c r="CE35" s="37" t="s">
        <v>39</v>
      </c>
      <c r="CF35" s="37"/>
      <c r="CG35" s="37"/>
      <c r="CH35" s="37" t="s">
        <v>40</v>
      </c>
      <c r="CI35" s="37"/>
      <c r="CJ35" s="37"/>
      <c r="CK35" s="37" t="s">
        <v>41</v>
      </c>
      <c r="CL35" s="37"/>
      <c r="CM35" s="37"/>
      <c r="CN35" s="37" t="s">
        <v>42</v>
      </c>
      <c r="CO35" s="2"/>
      <c r="CP35" s="2"/>
    </row>
    <row r="36" ht="13.5" customHeight="1">
      <c r="A36" s="2"/>
      <c r="B36" s="70">
        <f t="shared" si="1"/>
        <v>29</v>
      </c>
      <c r="C36" s="2" t="s">
        <v>159</v>
      </c>
      <c r="D36" s="2"/>
      <c r="E36" s="171">
        <v>36000.0</v>
      </c>
      <c r="F36" s="171"/>
      <c r="G36" s="171"/>
      <c r="H36" s="171">
        <v>36000.0</v>
      </c>
      <c r="I36" s="171"/>
      <c r="J36" s="171"/>
      <c r="K36" s="171">
        <v>36000.0</v>
      </c>
      <c r="L36" s="171"/>
      <c r="M36" s="171"/>
      <c r="N36" s="171">
        <v>36000.0</v>
      </c>
      <c r="O36" s="171"/>
      <c r="P36" s="171"/>
      <c r="Q36" s="171">
        <v>36000.0</v>
      </c>
      <c r="R36" s="171"/>
      <c r="S36" s="171"/>
      <c r="T36" s="171">
        <v>36000.0</v>
      </c>
      <c r="U36" s="171"/>
      <c r="V36" s="171"/>
      <c r="W36" s="171">
        <v>36000.0</v>
      </c>
      <c r="X36" s="171"/>
      <c r="Y36" s="171"/>
      <c r="Z36" s="171">
        <v>36000.0</v>
      </c>
      <c r="AA36" s="171"/>
      <c r="AB36" s="171"/>
      <c r="AC36" s="171">
        <v>36000.0</v>
      </c>
      <c r="AD36" s="171"/>
      <c r="AE36" s="171"/>
      <c r="AF36" s="171">
        <v>36000.0</v>
      </c>
      <c r="AG36" s="171"/>
      <c r="AH36" s="171"/>
      <c r="AI36" s="171">
        <v>36000.0</v>
      </c>
      <c r="AJ36" s="171"/>
      <c r="AK36" s="171"/>
      <c r="AL36" s="171">
        <v>36000.0</v>
      </c>
      <c r="AM36" s="171"/>
      <c r="AN36" s="171"/>
      <c r="AO36" s="171">
        <v>36000.0</v>
      </c>
      <c r="AP36" s="171"/>
      <c r="AQ36" s="171"/>
      <c r="AR36" s="171">
        <v>36000.0</v>
      </c>
      <c r="AS36" s="171"/>
      <c r="AT36" s="171"/>
      <c r="AU36" s="171">
        <v>36000.0</v>
      </c>
      <c r="AV36" s="171"/>
      <c r="AW36" s="171"/>
      <c r="AX36" s="171">
        <v>36000.0</v>
      </c>
      <c r="AY36" s="171"/>
      <c r="AZ36" s="171"/>
      <c r="BA36" s="171">
        <v>36000.0</v>
      </c>
      <c r="BB36" s="171"/>
      <c r="BC36" s="171"/>
      <c r="BD36" s="171">
        <v>36000.0</v>
      </c>
      <c r="BE36" s="171"/>
      <c r="BF36" s="171"/>
      <c r="BG36" s="171">
        <v>36000.0</v>
      </c>
      <c r="BH36" s="171"/>
      <c r="BI36" s="171"/>
      <c r="BJ36" s="171">
        <v>36000.0</v>
      </c>
      <c r="BK36" s="171"/>
      <c r="BL36" s="171"/>
      <c r="BM36" s="171">
        <v>36000.0</v>
      </c>
      <c r="BN36" s="171"/>
      <c r="BO36" s="171"/>
      <c r="BP36" s="171">
        <v>36000.0</v>
      </c>
      <c r="BQ36" s="171"/>
      <c r="BR36" s="171"/>
      <c r="BS36" s="171">
        <v>36000.0</v>
      </c>
      <c r="BT36" s="171"/>
      <c r="BU36" s="171"/>
      <c r="BV36" s="171">
        <v>36000.0</v>
      </c>
      <c r="BW36" s="171"/>
      <c r="BX36" s="171"/>
      <c r="BY36" s="171">
        <v>36000.0</v>
      </c>
      <c r="BZ36" s="171"/>
      <c r="CA36" s="171"/>
      <c r="CB36" s="171">
        <v>36000.0</v>
      </c>
      <c r="CC36" s="171"/>
      <c r="CD36" s="171"/>
      <c r="CE36" s="171">
        <v>36000.0</v>
      </c>
      <c r="CF36" s="171"/>
      <c r="CG36" s="171"/>
      <c r="CH36" s="171">
        <v>36000.0</v>
      </c>
      <c r="CI36" s="171"/>
      <c r="CJ36" s="171"/>
      <c r="CK36" s="171">
        <v>36000.0</v>
      </c>
      <c r="CL36" s="171"/>
      <c r="CM36" s="171"/>
      <c r="CN36" s="171">
        <v>36000.0</v>
      </c>
      <c r="CO36" s="2"/>
      <c r="CP36" s="2"/>
    </row>
    <row r="37" ht="13.5" customHeight="1">
      <c r="A37" s="2"/>
      <c r="B37" s="70">
        <f t="shared" si="1"/>
        <v>30</v>
      </c>
      <c r="C37" s="2" t="s">
        <v>160</v>
      </c>
      <c r="D37" s="2"/>
      <c r="E37" s="171">
        <v>36000.0</v>
      </c>
      <c r="F37" s="171"/>
      <c r="G37" s="171"/>
      <c r="H37" s="171">
        <v>36000.0</v>
      </c>
      <c r="I37" s="171"/>
      <c r="J37" s="171"/>
      <c r="K37" s="171">
        <v>36000.0</v>
      </c>
      <c r="L37" s="171"/>
      <c r="M37" s="171"/>
      <c r="N37" s="171">
        <v>36000.0</v>
      </c>
      <c r="O37" s="171"/>
      <c r="P37" s="171"/>
      <c r="Q37" s="171">
        <v>36000.0</v>
      </c>
      <c r="R37" s="171"/>
      <c r="S37" s="171"/>
      <c r="T37" s="171">
        <v>36000.0</v>
      </c>
      <c r="U37" s="171"/>
      <c r="V37" s="171"/>
      <c r="W37" s="171">
        <v>36000.0</v>
      </c>
      <c r="X37" s="171"/>
      <c r="Y37" s="171"/>
      <c r="Z37" s="171">
        <v>36000.0</v>
      </c>
      <c r="AA37" s="171"/>
      <c r="AB37" s="171"/>
      <c r="AC37" s="171">
        <v>36000.0</v>
      </c>
      <c r="AD37" s="171"/>
      <c r="AE37" s="171"/>
      <c r="AF37" s="171">
        <v>36000.0</v>
      </c>
      <c r="AG37" s="171"/>
      <c r="AH37" s="171"/>
      <c r="AI37" s="171">
        <v>36000.0</v>
      </c>
      <c r="AJ37" s="171"/>
      <c r="AK37" s="171"/>
      <c r="AL37" s="171">
        <v>36000.0</v>
      </c>
      <c r="AM37" s="171"/>
      <c r="AN37" s="171"/>
      <c r="AO37" s="171">
        <v>36000.0</v>
      </c>
      <c r="AP37" s="171"/>
      <c r="AQ37" s="171"/>
      <c r="AR37" s="171">
        <v>36000.0</v>
      </c>
      <c r="AS37" s="171"/>
      <c r="AT37" s="171"/>
      <c r="AU37" s="171">
        <v>36000.0</v>
      </c>
      <c r="AV37" s="171"/>
      <c r="AW37" s="171"/>
      <c r="AX37" s="171">
        <v>36000.0</v>
      </c>
      <c r="AY37" s="171"/>
      <c r="AZ37" s="171"/>
      <c r="BA37" s="171">
        <v>36000.0</v>
      </c>
      <c r="BB37" s="171"/>
      <c r="BC37" s="171"/>
      <c r="BD37" s="171">
        <v>36000.0</v>
      </c>
      <c r="BE37" s="171"/>
      <c r="BF37" s="171"/>
      <c r="BG37" s="171">
        <v>36000.0</v>
      </c>
      <c r="BH37" s="171"/>
      <c r="BI37" s="171"/>
      <c r="BJ37" s="171">
        <v>36000.0</v>
      </c>
      <c r="BK37" s="171"/>
      <c r="BL37" s="171"/>
      <c r="BM37" s="171">
        <v>36000.0</v>
      </c>
      <c r="BN37" s="171"/>
      <c r="BO37" s="171"/>
      <c r="BP37" s="171">
        <v>36000.0</v>
      </c>
      <c r="BQ37" s="171"/>
      <c r="BR37" s="171"/>
      <c r="BS37" s="171">
        <v>36000.0</v>
      </c>
      <c r="BT37" s="171"/>
      <c r="BU37" s="171"/>
      <c r="BV37" s="171">
        <v>36000.0</v>
      </c>
      <c r="BW37" s="171"/>
      <c r="BX37" s="171"/>
      <c r="BY37" s="171">
        <v>36000.0</v>
      </c>
      <c r="BZ37" s="171"/>
      <c r="CA37" s="171"/>
      <c r="CB37" s="171">
        <v>36000.0</v>
      </c>
      <c r="CC37" s="171"/>
      <c r="CD37" s="171"/>
      <c r="CE37" s="171">
        <v>36000.0</v>
      </c>
      <c r="CF37" s="171"/>
      <c r="CG37" s="171"/>
      <c r="CH37" s="171">
        <v>36000.0</v>
      </c>
      <c r="CI37" s="171"/>
      <c r="CJ37" s="171"/>
      <c r="CK37" s="171">
        <v>36000.0</v>
      </c>
      <c r="CL37" s="171"/>
      <c r="CM37" s="171"/>
      <c r="CN37" s="171">
        <v>36000.0</v>
      </c>
      <c r="CO37" s="2"/>
      <c r="CP37" s="2"/>
    </row>
    <row r="38" ht="13.5" customHeight="1">
      <c r="A38" s="2"/>
      <c r="B38" s="70">
        <f t="shared" si="1"/>
        <v>31</v>
      </c>
      <c r="C38" s="2" t="s">
        <v>161</v>
      </c>
      <c r="D38" s="2"/>
      <c r="E38" s="171">
        <v>12500.0</v>
      </c>
      <c r="F38" s="171"/>
      <c r="G38" s="171"/>
      <c r="H38" s="171">
        <v>12500.0</v>
      </c>
      <c r="I38" s="171"/>
      <c r="J38" s="171"/>
      <c r="K38" s="171">
        <v>12500.0</v>
      </c>
      <c r="L38" s="171"/>
      <c r="M38" s="171"/>
      <c r="N38" s="171">
        <v>12500.0</v>
      </c>
      <c r="O38" s="171"/>
      <c r="P38" s="171"/>
      <c r="Q38" s="171">
        <v>12500.0</v>
      </c>
      <c r="R38" s="171"/>
      <c r="S38" s="171"/>
      <c r="T38" s="171">
        <v>12500.0</v>
      </c>
      <c r="U38" s="171"/>
      <c r="V38" s="171"/>
      <c r="W38" s="171">
        <v>12500.0</v>
      </c>
      <c r="X38" s="171"/>
      <c r="Y38" s="171"/>
      <c r="Z38" s="171">
        <v>12500.0</v>
      </c>
      <c r="AA38" s="171"/>
      <c r="AB38" s="171"/>
      <c r="AC38" s="171">
        <v>12500.0</v>
      </c>
      <c r="AD38" s="171"/>
      <c r="AE38" s="171"/>
      <c r="AF38" s="171">
        <v>12500.0</v>
      </c>
      <c r="AG38" s="171"/>
      <c r="AH38" s="171"/>
      <c r="AI38" s="171">
        <v>12500.0</v>
      </c>
      <c r="AJ38" s="171"/>
      <c r="AK38" s="171"/>
      <c r="AL38" s="171">
        <v>12500.0</v>
      </c>
      <c r="AM38" s="171"/>
      <c r="AN38" s="171"/>
      <c r="AO38" s="171">
        <v>12500.0</v>
      </c>
      <c r="AP38" s="171"/>
      <c r="AQ38" s="171"/>
      <c r="AR38" s="171">
        <v>12500.0</v>
      </c>
      <c r="AS38" s="171"/>
      <c r="AT38" s="171"/>
      <c r="AU38" s="171">
        <v>12500.0</v>
      </c>
      <c r="AV38" s="171"/>
      <c r="AW38" s="171"/>
      <c r="AX38" s="171">
        <v>12500.0</v>
      </c>
      <c r="AY38" s="171"/>
      <c r="AZ38" s="171"/>
      <c r="BA38" s="171">
        <v>12500.0</v>
      </c>
      <c r="BB38" s="171"/>
      <c r="BC38" s="171"/>
      <c r="BD38" s="171">
        <v>12500.0</v>
      </c>
      <c r="BE38" s="171"/>
      <c r="BF38" s="171"/>
      <c r="BG38" s="171">
        <v>12500.0</v>
      </c>
      <c r="BH38" s="171"/>
      <c r="BI38" s="171"/>
      <c r="BJ38" s="171">
        <v>12500.0</v>
      </c>
      <c r="BK38" s="171"/>
      <c r="BL38" s="171"/>
      <c r="BM38" s="171">
        <v>12500.0</v>
      </c>
      <c r="BN38" s="171"/>
      <c r="BO38" s="171"/>
      <c r="BP38" s="171">
        <v>12500.0</v>
      </c>
      <c r="BQ38" s="171"/>
      <c r="BR38" s="171"/>
      <c r="BS38" s="171">
        <v>12500.0</v>
      </c>
      <c r="BT38" s="171"/>
      <c r="BU38" s="171"/>
      <c r="BV38" s="171">
        <v>12500.0</v>
      </c>
      <c r="BW38" s="171"/>
      <c r="BX38" s="171"/>
      <c r="BY38" s="171">
        <v>12500.0</v>
      </c>
      <c r="BZ38" s="171"/>
      <c r="CA38" s="171"/>
      <c r="CB38" s="171">
        <v>12500.0</v>
      </c>
      <c r="CC38" s="171"/>
      <c r="CD38" s="171"/>
      <c r="CE38" s="171">
        <v>12500.0</v>
      </c>
      <c r="CF38" s="171"/>
      <c r="CG38" s="171"/>
      <c r="CH38" s="171">
        <v>12500.0</v>
      </c>
      <c r="CI38" s="171"/>
      <c r="CJ38" s="171"/>
      <c r="CK38" s="171">
        <v>12500.0</v>
      </c>
      <c r="CL38" s="171"/>
      <c r="CM38" s="171"/>
      <c r="CN38" s="171">
        <v>12500.0</v>
      </c>
      <c r="CO38" s="2"/>
      <c r="CP38" s="2"/>
    </row>
    <row r="39" ht="13.5" customHeight="1">
      <c r="A39" s="2"/>
      <c r="B39" s="70">
        <f t="shared" si="1"/>
        <v>32</v>
      </c>
      <c r="C39" s="2" t="s">
        <v>162</v>
      </c>
      <c r="D39" s="2"/>
      <c r="E39" s="171">
        <v>4000.0</v>
      </c>
      <c r="F39" s="171"/>
      <c r="G39" s="171"/>
      <c r="H39" s="171">
        <v>4000.0</v>
      </c>
      <c r="I39" s="171"/>
      <c r="J39" s="171"/>
      <c r="K39" s="171">
        <v>4000.0</v>
      </c>
      <c r="L39" s="171"/>
      <c r="M39" s="171"/>
      <c r="N39" s="171">
        <v>4000.0</v>
      </c>
      <c r="O39" s="171"/>
      <c r="P39" s="171"/>
      <c r="Q39" s="171">
        <v>4000.0</v>
      </c>
      <c r="R39" s="171"/>
      <c r="S39" s="171"/>
      <c r="T39" s="171">
        <v>4000.0</v>
      </c>
      <c r="U39" s="171"/>
      <c r="V39" s="171"/>
      <c r="W39" s="171">
        <v>4000.0</v>
      </c>
      <c r="X39" s="171"/>
      <c r="Y39" s="171"/>
      <c r="Z39" s="171">
        <v>4000.0</v>
      </c>
      <c r="AA39" s="171"/>
      <c r="AB39" s="171"/>
      <c r="AC39" s="171">
        <v>4000.0</v>
      </c>
      <c r="AD39" s="171"/>
      <c r="AE39" s="171"/>
      <c r="AF39" s="171">
        <v>4000.0</v>
      </c>
      <c r="AG39" s="171"/>
      <c r="AH39" s="171"/>
      <c r="AI39" s="171">
        <v>4000.0</v>
      </c>
      <c r="AJ39" s="171"/>
      <c r="AK39" s="171"/>
      <c r="AL39" s="171">
        <v>4000.0</v>
      </c>
      <c r="AM39" s="171"/>
      <c r="AN39" s="171"/>
      <c r="AO39" s="171">
        <v>4000.0</v>
      </c>
      <c r="AP39" s="171"/>
      <c r="AQ39" s="171"/>
      <c r="AR39" s="171">
        <v>4000.0</v>
      </c>
      <c r="AS39" s="171"/>
      <c r="AT39" s="171"/>
      <c r="AU39" s="171">
        <v>4000.0</v>
      </c>
      <c r="AV39" s="171"/>
      <c r="AW39" s="171"/>
      <c r="AX39" s="171">
        <v>4000.0</v>
      </c>
      <c r="AY39" s="171"/>
      <c r="AZ39" s="171"/>
      <c r="BA39" s="171">
        <v>4000.0</v>
      </c>
      <c r="BB39" s="171"/>
      <c r="BC39" s="171"/>
      <c r="BD39" s="171">
        <v>4000.0</v>
      </c>
      <c r="BE39" s="171"/>
      <c r="BF39" s="171"/>
      <c r="BG39" s="171">
        <v>4000.0</v>
      </c>
      <c r="BH39" s="171"/>
      <c r="BI39" s="171"/>
      <c r="BJ39" s="171">
        <v>4000.0</v>
      </c>
      <c r="BK39" s="171"/>
      <c r="BL39" s="171"/>
      <c r="BM39" s="171">
        <v>4000.0</v>
      </c>
      <c r="BN39" s="171"/>
      <c r="BO39" s="171"/>
      <c r="BP39" s="171">
        <v>4000.0</v>
      </c>
      <c r="BQ39" s="171"/>
      <c r="BR39" s="171"/>
      <c r="BS39" s="171">
        <v>4000.0</v>
      </c>
      <c r="BT39" s="171"/>
      <c r="BU39" s="171"/>
      <c r="BV39" s="171">
        <v>4000.0</v>
      </c>
      <c r="BW39" s="171"/>
      <c r="BX39" s="171"/>
      <c r="BY39" s="171">
        <v>4000.0</v>
      </c>
      <c r="BZ39" s="171"/>
      <c r="CA39" s="171"/>
      <c r="CB39" s="171">
        <v>4000.0</v>
      </c>
      <c r="CC39" s="171"/>
      <c r="CD39" s="171"/>
      <c r="CE39" s="171">
        <v>4000.0</v>
      </c>
      <c r="CF39" s="171"/>
      <c r="CG39" s="171"/>
      <c r="CH39" s="171">
        <v>4000.0</v>
      </c>
      <c r="CI39" s="171"/>
      <c r="CJ39" s="171"/>
      <c r="CK39" s="171">
        <v>4000.0</v>
      </c>
      <c r="CL39" s="171"/>
      <c r="CM39" s="171"/>
      <c r="CN39" s="171">
        <v>4000.0</v>
      </c>
      <c r="CO39" s="2"/>
      <c r="CP39" s="2"/>
    </row>
    <row r="40" ht="13.5" customHeight="1">
      <c r="A40" s="2"/>
      <c r="B40" s="70">
        <f t="shared" si="1"/>
        <v>33</v>
      </c>
      <c r="C40" s="2"/>
      <c r="D40" s="2"/>
      <c r="E40" s="172"/>
      <c r="F40" s="172"/>
      <c r="G40" s="17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</row>
    <row r="41" ht="18.0" customHeight="1">
      <c r="A41" s="2"/>
      <c r="B41" s="70">
        <f t="shared" si="1"/>
        <v>34</v>
      </c>
      <c r="C41" s="145" t="s">
        <v>163</v>
      </c>
      <c r="D41" s="2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2"/>
      <c r="CP41" s="2"/>
    </row>
    <row r="42" ht="13.5" customHeight="1">
      <c r="A42" s="2"/>
      <c r="B42" s="70">
        <f t="shared" si="1"/>
        <v>35</v>
      </c>
      <c r="C42" s="139" t="s">
        <v>154</v>
      </c>
      <c r="D42" s="2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2"/>
      <c r="CP42" s="2"/>
    </row>
    <row r="43" ht="13.5" customHeight="1">
      <c r="A43" s="2"/>
      <c r="B43" s="70">
        <f t="shared" si="1"/>
        <v>36</v>
      </c>
      <c r="C43" s="2" t="s">
        <v>164</v>
      </c>
      <c r="D43" s="2"/>
      <c r="E43" s="173">
        <f>(E10*E36)+(E10*E37)</f>
        <v>2052000</v>
      </c>
      <c r="F43" s="173"/>
      <c r="G43" s="173"/>
      <c r="H43" s="173">
        <f>(H10*H36)+(H10*H37)</f>
        <v>2052000</v>
      </c>
      <c r="I43" s="173"/>
      <c r="J43" s="173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4"/>
      <c r="AX43" s="174"/>
      <c r="AY43" s="174"/>
      <c r="AZ43" s="174"/>
      <c r="BA43" s="174"/>
      <c r="BB43" s="174"/>
      <c r="BC43" s="174"/>
      <c r="BD43" s="174"/>
      <c r="BE43" s="174"/>
      <c r="BF43" s="174"/>
      <c r="BG43" s="174"/>
      <c r="BH43" s="174"/>
      <c r="BI43" s="174"/>
      <c r="BJ43" s="174"/>
      <c r="BK43" s="174"/>
      <c r="BL43" s="174"/>
      <c r="BM43" s="174"/>
      <c r="BN43" s="174"/>
      <c r="BO43" s="174"/>
      <c r="BP43" s="174"/>
      <c r="BQ43" s="174"/>
      <c r="BR43" s="174"/>
      <c r="BS43" s="174"/>
      <c r="BT43" s="174"/>
      <c r="BU43" s="174"/>
      <c r="BV43" s="174"/>
      <c r="BW43" s="174"/>
      <c r="BX43" s="174"/>
      <c r="BY43" s="174"/>
      <c r="BZ43" s="174"/>
      <c r="CA43" s="174"/>
      <c r="CB43" s="174"/>
      <c r="CC43" s="174"/>
      <c r="CD43" s="174"/>
      <c r="CE43" s="174"/>
      <c r="CF43" s="174"/>
      <c r="CG43" s="174"/>
      <c r="CH43" s="174"/>
      <c r="CI43" s="174"/>
      <c r="CJ43" s="174"/>
      <c r="CK43" s="174"/>
      <c r="CL43" s="174"/>
      <c r="CM43" s="174"/>
      <c r="CN43" s="174"/>
      <c r="CO43" s="2"/>
      <c r="CP43" s="2"/>
    </row>
    <row r="44" ht="13.5" customHeight="1">
      <c r="A44" s="2"/>
      <c r="B44" s="70">
        <f t="shared" si="1"/>
        <v>37</v>
      </c>
      <c r="C44" s="139" t="s">
        <v>155</v>
      </c>
      <c r="D44" s="2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2"/>
      <c r="CP44" s="2"/>
    </row>
    <row r="45" ht="13.5" customHeight="1">
      <c r="A45" s="2"/>
      <c r="B45" s="70">
        <f t="shared" si="1"/>
        <v>38</v>
      </c>
      <c r="C45" s="2" t="s">
        <v>164</v>
      </c>
      <c r="D45" s="2"/>
      <c r="E45" s="173">
        <f>(E11*E36)+(E11*E37)</f>
        <v>3960000</v>
      </c>
      <c r="F45" s="173"/>
      <c r="G45" s="173"/>
      <c r="H45" s="173">
        <f>(H11*H36)+(H11*H37)</f>
        <v>4158000</v>
      </c>
      <c r="I45" s="173"/>
      <c r="J45" s="173"/>
      <c r="K45" s="173">
        <f>(K12*K36)+(K12*K37)</f>
        <v>6480000</v>
      </c>
      <c r="L45" s="173"/>
      <c r="M45" s="173"/>
      <c r="N45" s="173">
        <f>(N12*N36)+(N12*N37)</f>
        <v>6750000</v>
      </c>
      <c r="O45" s="173"/>
      <c r="P45" s="173"/>
      <c r="Q45" s="173">
        <f>(Q12*Q36)+(Q12*Q37)</f>
        <v>7020000</v>
      </c>
      <c r="R45" s="173"/>
      <c r="S45" s="173"/>
      <c r="T45" s="173">
        <f>(T12*T36)+(T12*T37)</f>
        <v>7218000</v>
      </c>
      <c r="U45" s="173"/>
      <c r="V45" s="173"/>
      <c r="W45" s="173">
        <f>(W12*W36)+(W12*W37)</f>
        <v>7488000</v>
      </c>
      <c r="X45" s="173"/>
      <c r="Y45" s="173"/>
      <c r="Z45" s="173">
        <f>(Z12*Z36)+(Z12*Z37)</f>
        <v>7758000</v>
      </c>
      <c r="AA45" s="173"/>
      <c r="AB45" s="173"/>
      <c r="AC45" s="173">
        <f>(AC12*AC36)+(AC12*AC37)</f>
        <v>8028000</v>
      </c>
      <c r="AD45" s="173"/>
      <c r="AE45" s="173"/>
      <c r="AF45" s="173">
        <f>(AF12*AF36)+(AF12*AF37)</f>
        <v>8298000</v>
      </c>
      <c r="AG45" s="173"/>
      <c r="AH45" s="173"/>
      <c r="AI45" s="173">
        <f>(AI12*AI36)+(AI12*AI37)</f>
        <v>8640000</v>
      </c>
      <c r="AJ45" s="173"/>
      <c r="AK45" s="173"/>
      <c r="AL45" s="173">
        <f>(AL12*AL36)+(AL12*AL37)</f>
        <v>8982000</v>
      </c>
      <c r="AM45" s="173"/>
      <c r="AN45" s="173"/>
      <c r="AO45" s="173">
        <f>(AO12*AO36)+(AO12*AO37)</f>
        <v>9252000</v>
      </c>
      <c r="AP45" s="173"/>
      <c r="AQ45" s="173"/>
      <c r="AR45" s="173">
        <f>(AR12*AR36)+(AR12*AR37)</f>
        <v>9522000</v>
      </c>
      <c r="AS45" s="173"/>
      <c r="AT45" s="173"/>
      <c r="AU45" s="173">
        <f>(AU12*AU36)+(AU12*AU37)</f>
        <v>9864000</v>
      </c>
      <c r="AV45" s="173"/>
      <c r="AW45" s="173"/>
      <c r="AX45" s="173">
        <f>(AX12*AX36)+(AX12*AX37)</f>
        <v>10206000</v>
      </c>
      <c r="AY45" s="173"/>
      <c r="AZ45" s="173"/>
      <c r="BA45" s="173">
        <f>(BA12*BA36)+(BA12*BA37)</f>
        <v>10548000</v>
      </c>
      <c r="BB45" s="173"/>
      <c r="BC45" s="173"/>
      <c r="BD45" s="173">
        <f>(BD12*BD36)+(BD12*BD37)</f>
        <v>10944000</v>
      </c>
      <c r="BE45" s="173"/>
      <c r="BF45" s="173"/>
      <c r="BG45" s="173">
        <f>(BG12*BG36)+(BG12*BG37)</f>
        <v>11340000</v>
      </c>
      <c r="BH45" s="173"/>
      <c r="BI45" s="173"/>
      <c r="BJ45" s="173">
        <f>(BJ12*BJ36)+(BJ12*BJ37)</f>
        <v>11736000</v>
      </c>
      <c r="BK45" s="173"/>
      <c r="BL45" s="173"/>
      <c r="BM45" s="173">
        <f>(BM12*BM36)+(BM12*BM37)</f>
        <v>12132000</v>
      </c>
      <c r="BN45" s="173"/>
      <c r="BO45" s="173"/>
      <c r="BP45" s="173">
        <f>(BP12*BP36)+(BP12*BP37)</f>
        <v>12600000</v>
      </c>
      <c r="BQ45" s="173"/>
      <c r="BR45" s="173"/>
      <c r="BS45" s="173">
        <f>(BS12*BS36)+(BS12*BS37)</f>
        <v>12996000</v>
      </c>
      <c r="BT45" s="173"/>
      <c r="BU45" s="173"/>
      <c r="BV45" s="173">
        <f>(BV12*BV36)+(BV12*BV37)</f>
        <v>13464000</v>
      </c>
      <c r="BW45" s="173"/>
      <c r="BX45" s="173"/>
      <c r="BY45" s="173">
        <f>(BY12*BY36)+(BY12*BY37)</f>
        <v>13932000</v>
      </c>
      <c r="BZ45" s="173"/>
      <c r="CA45" s="173"/>
      <c r="CB45" s="173">
        <f>(CB12*CB36)+(CB12*CB37)</f>
        <v>14400000</v>
      </c>
      <c r="CC45" s="173"/>
      <c r="CD45" s="173"/>
      <c r="CE45" s="173">
        <f>(CE12*CE36)+(CE12*CE37)</f>
        <v>14868000</v>
      </c>
      <c r="CF45" s="173"/>
      <c r="CG45" s="173"/>
      <c r="CH45" s="173">
        <f>(CH12*CH36)+(CH12*CH37)</f>
        <v>15408000</v>
      </c>
      <c r="CI45" s="173"/>
      <c r="CJ45" s="173"/>
      <c r="CK45" s="173">
        <f>(CK12*CK36)+(CK12*CK37)</f>
        <v>15876000</v>
      </c>
      <c r="CL45" s="173"/>
      <c r="CM45" s="173"/>
      <c r="CN45" s="173">
        <f>(CN12*CN36)+(CN12*CN37)</f>
        <v>16416000</v>
      </c>
      <c r="CO45" s="2"/>
      <c r="CP45" s="2"/>
    </row>
    <row r="46" ht="13.5" customHeight="1">
      <c r="A46" s="2"/>
      <c r="B46" s="70">
        <f t="shared" si="1"/>
        <v>39</v>
      </c>
      <c r="C46" s="2" t="s">
        <v>165</v>
      </c>
      <c r="D46" s="2"/>
      <c r="E46" s="175">
        <f>-E45/3</f>
        <v>-1320000</v>
      </c>
      <c r="F46" s="175"/>
      <c r="G46" s="175"/>
      <c r="H46" s="175">
        <f>-H45/3</f>
        <v>-1386000</v>
      </c>
      <c r="I46" s="175"/>
      <c r="J46" s="175"/>
      <c r="K46" s="175">
        <f>-K45/3</f>
        <v>-2160000</v>
      </c>
      <c r="L46" s="175"/>
      <c r="M46" s="175"/>
      <c r="N46" s="175">
        <f>-N45/3</f>
        <v>-2250000</v>
      </c>
      <c r="O46" s="175"/>
      <c r="P46" s="175"/>
      <c r="Q46" s="175">
        <f>-Q45/3</f>
        <v>-2340000</v>
      </c>
      <c r="R46" s="175"/>
      <c r="S46" s="175"/>
      <c r="T46" s="175">
        <f>-T45/3</f>
        <v>-2406000</v>
      </c>
      <c r="U46" s="175"/>
      <c r="V46" s="175"/>
      <c r="W46" s="175">
        <f>-W45/3</f>
        <v>-2496000</v>
      </c>
      <c r="X46" s="175"/>
      <c r="Y46" s="175"/>
      <c r="Z46" s="175">
        <f>-Z45/3</f>
        <v>-2586000</v>
      </c>
      <c r="AA46" s="175"/>
      <c r="AB46" s="175"/>
      <c r="AC46" s="175">
        <f>-AC45/3</f>
        <v>-2676000</v>
      </c>
      <c r="AD46" s="175"/>
      <c r="AE46" s="175"/>
      <c r="AF46" s="175">
        <f>-AF45/3</f>
        <v>-2766000</v>
      </c>
      <c r="AG46" s="175"/>
      <c r="AH46" s="175"/>
      <c r="AI46" s="175">
        <f>-AI45/3</f>
        <v>-2880000</v>
      </c>
      <c r="AJ46" s="175"/>
      <c r="AK46" s="175"/>
      <c r="AL46" s="175">
        <f>-AL45/3</f>
        <v>-2994000</v>
      </c>
      <c r="AM46" s="175"/>
      <c r="AN46" s="175"/>
      <c r="AO46" s="175">
        <f>-AO45/3</f>
        <v>-3084000</v>
      </c>
      <c r="AP46" s="175"/>
      <c r="AQ46" s="175"/>
      <c r="AR46" s="175">
        <f>-AR45/3</f>
        <v>-3174000</v>
      </c>
      <c r="AS46" s="175"/>
      <c r="AT46" s="175"/>
      <c r="AU46" s="175">
        <f>-AU45/3</f>
        <v>-3288000</v>
      </c>
      <c r="AV46" s="175"/>
      <c r="AW46" s="175"/>
      <c r="AX46" s="175">
        <f>-AX45/3</f>
        <v>-3402000</v>
      </c>
      <c r="AY46" s="175"/>
      <c r="AZ46" s="175"/>
      <c r="BA46" s="175">
        <f>-BA45/3</f>
        <v>-3516000</v>
      </c>
      <c r="BB46" s="175"/>
      <c r="BC46" s="175"/>
      <c r="BD46" s="175">
        <f>-BD45/3</f>
        <v>-3648000</v>
      </c>
      <c r="BE46" s="175"/>
      <c r="BF46" s="175"/>
      <c r="BG46" s="175">
        <f>-BG45/3</f>
        <v>-3780000</v>
      </c>
      <c r="BH46" s="175"/>
      <c r="BI46" s="175"/>
      <c r="BJ46" s="175">
        <f>-BJ45/3</f>
        <v>-3912000</v>
      </c>
      <c r="BK46" s="175"/>
      <c r="BL46" s="175"/>
      <c r="BM46" s="175">
        <f>-BM45/3</f>
        <v>-4044000</v>
      </c>
      <c r="BN46" s="175"/>
      <c r="BO46" s="175"/>
      <c r="BP46" s="175">
        <f>-BP45/3</f>
        <v>-4200000</v>
      </c>
      <c r="BQ46" s="175"/>
      <c r="BR46" s="175"/>
      <c r="BS46" s="175">
        <f>-BS45/3</f>
        <v>-4332000</v>
      </c>
      <c r="BT46" s="175"/>
      <c r="BU46" s="175"/>
      <c r="BV46" s="175">
        <f>-BV45/3</f>
        <v>-4488000</v>
      </c>
      <c r="BW46" s="175"/>
      <c r="BX46" s="175"/>
      <c r="BY46" s="175">
        <f>-BY45/3</f>
        <v>-4644000</v>
      </c>
      <c r="BZ46" s="175"/>
      <c r="CA46" s="175"/>
      <c r="CB46" s="175">
        <f>-CB45/3</f>
        <v>-4800000</v>
      </c>
      <c r="CC46" s="175"/>
      <c r="CD46" s="175"/>
      <c r="CE46" s="175">
        <f>-CE45/3</f>
        <v>-4956000</v>
      </c>
      <c r="CF46" s="175"/>
      <c r="CG46" s="175"/>
      <c r="CH46" s="175">
        <f>-CH45/3</f>
        <v>-5136000</v>
      </c>
      <c r="CI46" s="175"/>
      <c r="CJ46" s="175"/>
      <c r="CK46" s="175">
        <f>-CK45/3</f>
        <v>-5292000</v>
      </c>
      <c r="CL46" s="175"/>
      <c r="CM46" s="175"/>
      <c r="CN46" s="175">
        <f>-CN45/3</f>
        <v>-5472000</v>
      </c>
      <c r="CO46" s="2"/>
      <c r="CP46" s="2"/>
    </row>
    <row r="47" ht="13.5" customHeight="1">
      <c r="A47" s="2"/>
      <c r="B47" s="70">
        <f t="shared" si="1"/>
        <v>40</v>
      </c>
      <c r="C47" s="2" t="s">
        <v>166</v>
      </c>
      <c r="D47" s="2"/>
      <c r="E47" s="173">
        <f>(E26*E38)</f>
        <v>687500</v>
      </c>
      <c r="F47" s="173"/>
      <c r="G47" s="173"/>
      <c r="H47" s="173">
        <f>H27*H38</f>
        <v>778125</v>
      </c>
      <c r="I47" s="173"/>
      <c r="J47" s="173"/>
      <c r="K47" s="173">
        <f>K27*K38</f>
        <v>812500</v>
      </c>
      <c r="L47" s="173"/>
      <c r="M47" s="173"/>
      <c r="N47" s="173">
        <f>N27*N38</f>
        <v>846875</v>
      </c>
      <c r="O47" s="173"/>
      <c r="P47" s="173"/>
      <c r="Q47" s="173">
        <f>Q27*Q38</f>
        <v>881250</v>
      </c>
      <c r="R47" s="173"/>
      <c r="S47" s="173"/>
      <c r="T47" s="173">
        <f>T27*T38</f>
        <v>915625</v>
      </c>
      <c r="U47" s="173"/>
      <c r="V47" s="173"/>
      <c r="W47" s="173">
        <f>W27*W38</f>
        <v>950000</v>
      </c>
      <c r="X47" s="173"/>
      <c r="Y47" s="173"/>
      <c r="Z47" s="173">
        <f>Z27*Z38</f>
        <v>971875</v>
      </c>
      <c r="AA47" s="173"/>
      <c r="AB47" s="173"/>
      <c r="AC47" s="173">
        <f>AC27*AC38</f>
        <v>1006250</v>
      </c>
      <c r="AD47" s="173"/>
      <c r="AE47" s="173"/>
      <c r="AF47" s="173">
        <f>AF27*AF38</f>
        <v>1053125</v>
      </c>
      <c r="AG47" s="173"/>
      <c r="AH47" s="173"/>
      <c r="AI47" s="173">
        <f>AI27*AI38</f>
        <v>1087500</v>
      </c>
      <c r="AJ47" s="173"/>
      <c r="AK47" s="173"/>
      <c r="AL47" s="173">
        <f>AL27*AL38</f>
        <v>1134375</v>
      </c>
      <c r="AM47" s="173"/>
      <c r="AN47" s="173"/>
      <c r="AO47" s="173">
        <f>AO27*AO38</f>
        <v>1168750</v>
      </c>
      <c r="AP47" s="173"/>
      <c r="AQ47" s="173"/>
      <c r="AR47" s="173">
        <f>AR27*AR38</f>
        <v>1203125</v>
      </c>
      <c r="AS47" s="173"/>
      <c r="AT47" s="173"/>
      <c r="AU47" s="173">
        <f>AU27*AU38</f>
        <v>1250000</v>
      </c>
      <c r="AV47" s="173"/>
      <c r="AW47" s="173"/>
      <c r="AX47" s="173">
        <f>AX27*AX38</f>
        <v>1284375</v>
      </c>
      <c r="AY47" s="173"/>
      <c r="AZ47" s="173"/>
      <c r="BA47" s="173">
        <f>BA27*BA38</f>
        <v>1331250</v>
      </c>
      <c r="BB47" s="173"/>
      <c r="BC47" s="173"/>
      <c r="BD47" s="173">
        <f>BD27*BD38</f>
        <v>1375000</v>
      </c>
      <c r="BE47" s="173"/>
      <c r="BF47" s="173"/>
      <c r="BG47" s="173">
        <f>BG27*BG38</f>
        <v>1443750</v>
      </c>
      <c r="BH47" s="173"/>
      <c r="BI47" s="173"/>
      <c r="BJ47" s="173">
        <f>BJ27*BJ38</f>
        <v>1487500</v>
      </c>
      <c r="BK47" s="173"/>
      <c r="BL47" s="173"/>
      <c r="BM47" s="173">
        <f>BM27*BM38</f>
        <v>1531250</v>
      </c>
      <c r="BN47" s="173"/>
      <c r="BO47" s="173"/>
      <c r="BP47" s="173">
        <f>BP27*BP38</f>
        <v>1587500</v>
      </c>
      <c r="BQ47" s="173"/>
      <c r="BR47" s="173"/>
      <c r="BS47" s="173">
        <f>BS27*BS38</f>
        <v>1643750</v>
      </c>
      <c r="BT47" s="173"/>
      <c r="BU47" s="173"/>
      <c r="BV47" s="173">
        <f>BV27*BV38</f>
        <v>1700000</v>
      </c>
      <c r="BW47" s="173"/>
      <c r="BX47" s="173"/>
      <c r="BY47" s="173">
        <f>BY27*BY38</f>
        <v>1756250</v>
      </c>
      <c r="BZ47" s="173"/>
      <c r="CA47" s="173"/>
      <c r="CB47" s="173">
        <f>CB27*CB38</f>
        <v>1812500</v>
      </c>
      <c r="CC47" s="173"/>
      <c r="CD47" s="173"/>
      <c r="CE47" s="173">
        <f>CE27*CE38</f>
        <v>1881250</v>
      </c>
      <c r="CF47" s="173"/>
      <c r="CG47" s="173"/>
      <c r="CH47" s="173">
        <f>CH27*CH38</f>
        <v>1950000</v>
      </c>
      <c r="CI47" s="173"/>
      <c r="CJ47" s="173"/>
      <c r="CK47" s="173">
        <f>CK27*CK38</f>
        <v>2018750</v>
      </c>
      <c r="CL47" s="173"/>
      <c r="CM47" s="173"/>
      <c r="CN47" s="173">
        <f>CN27*CN38</f>
        <v>2075000</v>
      </c>
      <c r="CO47" s="2"/>
      <c r="CP47" s="2"/>
    </row>
    <row r="48" ht="13.5" customHeight="1">
      <c r="A48" s="2"/>
      <c r="B48" s="70">
        <f t="shared" si="1"/>
        <v>41</v>
      </c>
      <c r="C48" s="2" t="s">
        <v>165</v>
      </c>
      <c r="D48" s="2"/>
      <c r="E48" s="175">
        <f>-E47/3</f>
        <v>-229166.6667</v>
      </c>
      <c r="F48" s="175"/>
      <c r="G48" s="175"/>
      <c r="H48" s="175">
        <f>-H47/3</f>
        <v>-259375</v>
      </c>
      <c r="I48" s="175"/>
      <c r="J48" s="175"/>
      <c r="K48" s="175">
        <f>-K47/3</f>
        <v>-270833.3333</v>
      </c>
      <c r="L48" s="175"/>
      <c r="M48" s="175"/>
      <c r="N48" s="175">
        <f>-N47/3</f>
        <v>-282291.6667</v>
      </c>
      <c r="O48" s="175"/>
      <c r="P48" s="175"/>
      <c r="Q48" s="175">
        <f>-Q47/3</f>
        <v>-293750</v>
      </c>
      <c r="R48" s="175"/>
      <c r="S48" s="175"/>
      <c r="T48" s="175">
        <f>-T47/3</f>
        <v>-305208.3333</v>
      </c>
      <c r="U48" s="175"/>
      <c r="V48" s="175"/>
      <c r="W48" s="175">
        <f>-W47/3</f>
        <v>-316666.6667</v>
      </c>
      <c r="X48" s="175"/>
      <c r="Y48" s="175"/>
      <c r="Z48" s="175">
        <f>-Z47/3</f>
        <v>-323958.3333</v>
      </c>
      <c r="AA48" s="175"/>
      <c r="AB48" s="175"/>
      <c r="AC48" s="175">
        <f>-AC47/3</f>
        <v>-335416.6667</v>
      </c>
      <c r="AD48" s="175"/>
      <c r="AE48" s="175"/>
      <c r="AF48" s="175">
        <f>-AF47/3</f>
        <v>-351041.6667</v>
      </c>
      <c r="AG48" s="175"/>
      <c r="AH48" s="175"/>
      <c r="AI48" s="175">
        <f>-AI47/3</f>
        <v>-362500</v>
      </c>
      <c r="AJ48" s="175"/>
      <c r="AK48" s="175"/>
      <c r="AL48" s="175">
        <f>-AL47/3</f>
        <v>-378125</v>
      </c>
      <c r="AM48" s="175"/>
      <c r="AN48" s="175"/>
      <c r="AO48" s="175">
        <f>-AO47/3</f>
        <v>-389583.3333</v>
      </c>
      <c r="AP48" s="175"/>
      <c r="AQ48" s="175"/>
      <c r="AR48" s="175">
        <f>-AR47/3</f>
        <v>-401041.6667</v>
      </c>
      <c r="AS48" s="175"/>
      <c r="AT48" s="175"/>
      <c r="AU48" s="175">
        <f>-AU47/3</f>
        <v>-416666.6667</v>
      </c>
      <c r="AV48" s="175"/>
      <c r="AW48" s="175"/>
      <c r="AX48" s="175">
        <f>-AX47/3</f>
        <v>-428125</v>
      </c>
      <c r="AY48" s="175"/>
      <c r="AZ48" s="175"/>
      <c r="BA48" s="175">
        <f>-BA47/3</f>
        <v>-443750</v>
      </c>
      <c r="BB48" s="175"/>
      <c r="BC48" s="175"/>
      <c r="BD48" s="175">
        <f>-BD47/3</f>
        <v>-458333.3333</v>
      </c>
      <c r="BE48" s="175"/>
      <c r="BF48" s="175"/>
      <c r="BG48" s="175">
        <f>-BG47/3</f>
        <v>-481250</v>
      </c>
      <c r="BH48" s="175"/>
      <c r="BI48" s="175"/>
      <c r="BJ48" s="175">
        <f>-BJ47/3</f>
        <v>-495833.3333</v>
      </c>
      <c r="BK48" s="175"/>
      <c r="BL48" s="175"/>
      <c r="BM48" s="175">
        <f>-BM47/3</f>
        <v>-510416.6667</v>
      </c>
      <c r="BN48" s="175"/>
      <c r="BO48" s="175"/>
      <c r="BP48" s="175">
        <f>-BP47/3</f>
        <v>-529166.6667</v>
      </c>
      <c r="BQ48" s="175"/>
      <c r="BR48" s="175"/>
      <c r="BS48" s="175">
        <f>-BS47/3</f>
        <v>-547916.6667</v>
      </c>
      <c r="BT48" s="175"/>
      <c r="BU48" s="175"/>
      <c r="BV48" s="175">
        <f>-BV47/3</f>
        <v>-566666.6667</v>
      </c>
      <c r="BW48" s="175"/>
      <c r="BX48" s="175"/>
      <c r="BY48" s="175">
        <f>-BY47/3</f>
        <v>-585416.6667</v>
      </c>
      <c r="BZ48" s="175"/>
      <c r="CA48" s="175"/>
      <c r="CB48" s="175">
        <f>-CB47/3</f>
        <v>-604166.6667</v>
      </c>
      <c r="CC48" s="175"/>
      <c r="CD48" s="175"/>
      <c r="CE48" s="175">
        <f>-CE47/3</f>
        <v>-627083.3333</v>
      </c>
      <c r="CF48" s="175"/>
      <c r="CG48" s="175"/>
      <c r="CH48" s="175">
        <f>-CH47/3</f>
        <v>-650000</v>
      </c>
      <c r="CI48" s="175"/>
      <c r="CJ48" s="175"/>
      <c r="CK48" s="175">
        <f>-CK47/3</f>
        <v>-672916.6667</v>
      </c>
      <c r="CL48" s="175"/>
      <c r="CM48" s="175"/>
      <c r="CN48" s="175">
        <f>-CN47/3</f>
        <v>-691666.6667</v>
      </c>
      <c r="CO48" s="2"/>
      <c r="CP48" s="2"/>
    </row>
    <row r="49" ht="13.5" customHeight="1">
      <c r="A49" s="2"/>
      <c r="B49" s="70">
        <f t="shared" si="1"/>
        <v>42</v>
      </c>
      <c r="C49" s="17" t="s">
        <v>167</v>
      </c>
      <c r="D49" s="17"/>
      <c r="E49" s="176">
        <f>E26*E39</f>
        <v>220000</v>
      </c>
      <c r="F49" s="176"/>
      <c r="G49" s="176"/>
      <c r="H49" s="176">
        <f>H27*H39</f>
        <v>249000</v>
      </c>
      <c r="I49" s="176"/>
      <c r="J49" s="176"/>
      <c r="K49" s="176">
        <f>K12*K39</f>
        <v>360000</v>
      </c>
      <c r="L49" s="176"/>
      <c r="M49" s="176"/>
      <c r="N49" s="176">
        <f>N12*N39</f>
        <v>375000</v>
      </c>
      <c r="O49" s="176"/>
      <c r="P49" s="176"/>
      <c r="Q49" s="176">
        <f>Q12*Q39</f>
        <v>390000</v>
      </c>
      <c r="R49" s="176"/>
      <c r="S49" s="176"/>
      <c r="T49" s="176">
        <f>T12*T39</f>
        <v>401000</v>
      </c>
      <c r="U49" s="176"/>
      <c r="V49" s="176"/>
      <c r="W49" s="176">
        <f>W12*W39</f>
        <v>416000</v>
      </c>
      <c r="X49" s="176"/>
      <c r="Y49" s="176"/>
      <c r="Z49" s="176">
        <f>Z12*Z39</f>
        <v>431000</v>
      </c>
      <c r="AA49" s="176"/>
      <c r="AB49" s="176"/>
      <c r="AC49" s="176">
        <f>AC12*AC39</f>
        <v>446000</v>
      </c>
      <c r="AD49" s="176"/>
      <c r="AE49" s="176"/>
      <c r="AF49" s="176">
        <f>AF12*AF39</f>
        <v>461000</v>
      </c>
      <c r="AG49" s="176"/>
      <c r="AH49" s="176"/>
      <c r="AI49" s="176">
        <f>AI12*AI39</f>
        <v>480000</v>
      </c>
      <c r="AJ49" s="176"/>
      <c r="AK49" s="176"/>
      <c r="AL49" s="176">
        <f>AL12*AL39</f>
        <v>499000</v>
      </c>
      <c r="AM49" s="176"/>
      <c r="AN49" s="176"/>
      <c r="AO49" s="176">
        <f>AO12*AO39</f>
        <v>514000</v>
      </c>
      <c r="AP49" s="176"/>
      <c r="AQ49" s="176"/>
      <c r="AR49" s="176">
        <f>AR12*AR39</f>
        <v>529000</v>
      </c>
      <c r="AS49" s="176"/>
      <c r="AT49" s="176"/>
      <c r="AU49" s="176">
        <f>AU12*AU39</f>
        <v>548000</v>
      </c>
      <c r="AV49" s="176"/>
      <c r="AW49" s="176"/>
      <c r="AX49" s="176">
        <f>AX12*AX39</f>
        <v>567000</v>
      </c>
      <c r="AY49" s="176"/>
      <c r="AZ49" s="176"/>
      <c r="BA49" s="176">
        <f>BA12*BA39</f>
        <v>586000</v>
      </c>
      <c r="BB49" s="176"/>
      <c r="BC49" s="176"/>
      <c r="BD49" s="176">
        <f>BD12*BD39</f>
        <v>608000</v>
      </c>
      <c r="BE49" s="176"/>
      <c r="BF49" s="176"/>
      <c r="BG49" s="176">
        <f>BG12*BG39</f>
        <v>630000</v>
      </c>
      <c r="BH49" s="176"/>
      <c r="BI49" s="176"/>
      <c r="BJ49" s="176">
        <f>BJ12*BJ39</f>
        <v>652000</v>
      </c>
      <c r="BK49" s="176"/>
      <c r="BL49" s="176"/>
      <c r="BM49" s="176">
        <f>BM12*BM39</f>
        <v>674000</v>
      </c>
      <c r="BN49" s="176"/>
      <c r="BO49" s="176"/>
      <c r="BP49" s="176">
        <f>BP12*BP39</f>
        <v>700000</v>
      </c>
      <c r="BQ49" s="176"/>
      <c r="BR49" s="176"/>
      <c r="BS49" s="176">
        <f>BS12*BS39</f>
        <v>722000</v>
      </c>
      <c r="BT49" s="176"/>
      <c r="BU49" s="176"/>
      <c r="BV49" s="176">
        <f>BV12*BV39</f>
        <v>748000</v>
      </c>
      <c r="BW49" s="176"/>
      <c r="BX49" s="176"/>
      <c r="BY49" s="176">
        <f>BY12*BY39</f>
        <v>774000</v>
      </c>
      <c r="BZ49" s="176"/>
      <c r="CA49" s="176"/>
      <c r="CB49" s="176">
        <f>CB12*CB39</f>
        <v>800000</v>
      </c>
      <c r="CC49" s="176"/>
      <c r="CD49" s="176"/>
      <c r="CE49" s="176">
        <f>CE12*CE39</f>
        <v>826000</v>
      </c>
      <c r="CF49" s="176"/>
      <c r="CG49" s="176"/>
      <c r="CH49" s="176">
        <f>CH12*CH39</f>
        <v>856000</v>
      </c>
      <c r="CI49" s="176"/>
      <c r="CJ49" s="176"/>
      <c r="CK49" s="176">
        <f>CK12*CK39</f>
        <v>882000</v>
      </c>
      <c r="CL49" s="176"/>
      <c r="CM49" s="176"/>
      <c r="CN49" s="176">
        <f>CN12*CN39</f>
        <v>912000</v>
      </c>
      <c r="CO49" s="2"/>
      <c r="CP49" s="2"/>
    </row>
    <row r="50" ht="13.5" customHeight="1">
      <c r="A50" s="2"/>
      <c r="B50" s="70">
        <f t="shared" si="1"/>
        <v>43</v>
      </c>
      <c r="C50" s="2" t="s">
        <v>168</v>
      </c>
      <c r="D50" s="2"/>
      <c r="E50" s="173">
        <f>SUM(E44:E49)</f>
        <v>3318333.333</v>
      </c>
      <c r="F50" s="173"/>
      <c r="G50" s="173"/>
      <c r="H50" s="173">
        <f>SUM(H44:H49)</f>
        <v>3539750</v>
      </c>
      <c r="I50" s="173"/>
      <c r="J50" s="173"/>
      <c r="K50" s="173">
        <f>SUM(K44:K49)</f>
        <v>5221666.667</v>
      </c>
      <c r="L50" s="173"/>
      <c r="M50" s="173"/>
      <c r="N50" s="173">
        <f>SUM(N44:N49)</f>
        <v>5439583.333</v>
      </c>
      <c r="O50" s="173"/>
      <c r="P50" s="173"/>
      <c r="Q50" s="173">
        <f>SUM(Q44:Q49)</f>
        <v>5657500</v>
      </c>
      <c r="R50" s="173"/>
      <c r="S50" s="173"/>
      <c r="T50" s="173">
        <f>SUM(T44:T49)</f>
        <v>5823416.667</v>
      </c>
      <c r="U50" s="173"/>
      <c r="V50" s="173"/>
      <c r="W50" s="173">
        <f>SUM(W44:W49)</f>
        <v>6041333.333</v>
      </c>
      <c r="X50" s="173"/>
      <c r="Y50" s="173"/>
      <c r="Z50" s="173">
        <f>SUM(Z44:Z49)</f>
        <v>6250916.667</v>
      </c>
      <c r="AA50" s="173"/>
      <c r="AB50" s="173"/>
      <c r="AC50" s="173">
        <f>SUM(AC44:AC49)</f>
        <v>6468833.333</v>
      </c>
      <c r="AD50" s="173"/>
      <c r="AE50" s="173"/>
      <c r="AF50" s="173">
        <f>SUM(AF44:AF49)</f>
        <v>6695083.333</v>
      </c>
      <c r="AG50" s="173"/>
      <c r="AH50" s="173"/>
      <c r="AI50" s="173">
        <f>SUM(AI44:AI49)</f>
        <v>6965000</v>
      </c>
      <c r="AJ50" s="173"/>
      <c r="AK50" s="173"/>
      <c r="AL50" s="173">
        <f>SUM(AL44:AL49)</f>
        <v>7243250</v>
      </c>
      <c r="AM50" s="173"/>
      <c r="AN50" s="173"/>
      <c r="AO50" s="173">
        <f>SUM(AO44:AO49)</f>
        <v>7461166.667</v>
      </c>
      <c r="AP50" s="173"/>
      <c r="AQ50" s="173"/>
      <c r="AR50" s="173">
        <f>SUM(AR44:AR49)</f>
        <v>7679083.333</v>
      </c>
      <c r="AS50" s="173"/>
      <c r="AT50" s="173"/>
      <c r="AU50" s="173">
        <f>SUM(AU44:AU49)</f>
        <v>7957333.333</v>
      </c>
      <c r="AV50" s="173"/>
      <c r="AW50" s="173"/>
      <c r="AX50" s="173">
        <f>SUM(AX44:AX49)</f>
        <v>8227250</v>
      </c>
      <c r="AY50" s="173"/>
      <c r="AZ50" s="173"/>
      <c r="BA50" s="173">
        <f>SUM(BA44:BA49)</f>
        <v>8505500</v>
      </c>
      <c r="BB50" s="173"/>
      <c r="BC50" s="173"/>
      <c r="BD50" s="173">
        <f>SUM(BD44:BD49)</f>
        <v>8820666.667</v>
      </c>
      <c r="BE50" s="173"/>
      <c r="BF50" s="173"/>
      <c r="BG50" s="173">
        <f>SUM(BG44:BG49)</f>
        <v>9152500</v>
      </c>
      <c r="BH50" s="173"/>
      <c r="BI50" s="173"/>
      <c r="BJ50" s="173">
        <f>SUM(BJ44:BJ49)</f>
        <v>9467666.667</v>
      </c>
      <c r="BK50" s="173"/>
      <c r="BL50" s="173"/>
      <c r="BM50" s="173">
        <f>SUM(BM44:BM49)</f>
        <v>9782833.333</v>
      </c>
      <c r="BN50" s="173"/>
      <c r="BO50" s="173"/>
      <c r="BP50" s="173">
        <f>SUM(BP44:BP49)</f>
        <v>10158333.33</v>
      </c>
      <c r="BQ50" s="173"/>
      <c r="BR50" s="173"/>
      <c r="BS50" s="173">
        <f>SUM(BS44:BS49)</f>
        <v>10481833.33</v>
      </c>
      <c r="BT50" s="173"/>
      <c r="BU50" s="173"/>
      <c r="BV50" s="173">
        <f>SUM(BV44:BV49)</f>
        <v>10857333.33</v>
      </c>
      <c r="BW50" s="173"/>
      <c r="BX50" s="173"/>
      <c r="BY50" s="173">
        <f>SUM(BY44:BY49)</f>
        <v>11232833.33</v>
      </c>
      <c r="BZ50" s="173"/>
      <c r="CA50" s="173"/>
      <c r="CB50" s="173">
        <f>SUM(CB44:CB49)</f>
        <v>11608333.33</v>
      </c>
      <c r="CC50" s="173"/>
      <c r="CD50" s="173"/>
      <c r="CE50" s="173">
        <f>SUM(CE44:CE49)</f>
        <v>11992166.67</v>
      </c>
      <c r="CF50" s="173"/>
      <c r="CG50" s="173"/>
      <c r="CH50" s="173">
        <f>SUM(CH44:CH49)</f>
        <v>12428000</v>
      </c>
      <c r="CI50" s="173"/>
      <c r="CJ50" s="173"/>
      <c r="CK50" s="173">
        <f>SUM(CK44:CK49)</f>
        <v>12811833.33</v>
      </c>
      <c r="CL50" s="173"/>
      <c r="CM50" s="173"/>
      <c r="CN50" s="173">
        <f>SUM(CN44:CN49)</f>
        <v>13239333.33</v>
      </c>
      <c r="CO50" s="2"/>
      <c r="CP50" s="2"/>
    </row>
    <row r="51" ht="18.75" customHeight="1">
      <c r="A51" s="2"/>
      <c r="B51" s="70">
        <f t="shared" si="1"/>
        <v>44</v>
      </c>
      <c r="C51" s="158" t="s">
        <v>169</v>
      </c>
      <c r="D51" s="158"/>
      <c r="E51" s="177">
        <f>E43+E50</f>
        <v>5370333.333</v>
      </c>
      <c r="F51" s="177"/>
      <c r="G51" s="177"/>
      <c r="H51" s="177">
        <f>H43+H50</f>
        <v>5591750</v>
      </c>
      <c r="I51" s="177"/>
      <c r="J51" s="177"/>
      <c r="K51" s="177">
        <f>K43+K50</f>
        <v>5221666.667</v>
      </c>
      <c r="L51" s="177"/>
      <c r="M51" s="177"/>
      <c r="N51" s="177">
        <f>N43+N50</f>
        <v>5439583.333</v>
      </c>
      <c r="O51" s="177"/>
      <c r="P51" s="177"/>
      <c r="Q51" s="177">
        <f>Q43+Q50</f>
        <v>5657500</v>
      </c>
      <c r="R51" s="177"/>
      <c r="S51" s="177"/>
      <c r="T51" s="177">
        <f>T43+T50</f>
        <v>5823416.667</v>
      </c>
      <c r="U51" s="177"/>
      <c r="V51" s="177"/>
      <c r="W51" s="177">
        <f>W43+W50</f>
        <v>6041333.333</v>
      </c>
      <c r="X51" s="177"/>
      <c r="Y51" s="177"/>
      <c r="Z51" s="177">
        <f>Z43+Z50</f>
        <v>6250916.667</v>
      </c>
      <c r="AA51" s="177"/>
      <c r="AB51" s="177"/>
      <c r="AC51" s="177">
        <f>AC43+AC50</f>
        <v>6468833.333</v>
      </c>
      <c r="AD51" s="177"/>
      <c r="AE51" s="177"/>
      <c r="AF51" s="177">
        <f>AF43+AF50</f>
        <v>6695083.333</v>
      </c>
      <c r="AG51" s="177"/>
      <c r="AH51" s="177"/>
      <c r="AI51" s="177">
        <f>AI43+AI50</f>
        <v>6965000</v>
      </c>
      <c r="AJ51" s="177"/>
      <c r="AK51" s="177"/>
      <c r="AL51" s="177">
        <f>AL43+AL50</f>
        <v>7243250</v>
      </c>
      <c r="AM51" s="177"/>
      <c r="AN51" s="177"/>
      <c r="AO51" s="177">
        <f>AO43+AO50</f>
        <v>7461166.667</v>
      </c>
      <c r="AP51" s="177"/>
      <c r="AQ51" s="177"/>
      <c r="AR51" s="177">
        <f>AR43+AR50</f>
        <v>7679083.333</v>
      </c>
      <c r="AS51" s="177"/>
      <c r="AT51" s="177"/>
      <c r="AU51" s="177">
        <f>AU43+AU50</f>
        <v>7957333.333</v>
      </c>
      <c r="AV51" s="177"/>
      <c r="AW51" s="177"/>
      <c r="AX51" s="177">
        <f>AX43+AX50</f>
        <v>8227250</v>
      </c>
      <c r="AY51" s="177"/>
      <c r="AZ51" s="177"/>
      <c r="BA51" s="177">
        <f>BA43+BA50</f>
        <v>8505500</v>
      </c>
      <c r="BB51" s="177"/>
      <c r="BC51" s="177"/>
      <c r="BD51" s="177">
        <f>BD43+BD50</f>
        <v>8820666.667</v>
      </c>
      <c r="BE51" s="177"/>
      <c r="BF51" s="177"/>
      <c r="BG51" s="177">
        <f>BG43+BG50</f>
        <v>9152500</v>
      </c>
      <c r="BH51" s="177"/>
      <c r="BI51" s="177"/>
      <c r="BJ51" s="177">
        <f>BJ43+BJ50</f>
        <v>9467666.667</v>
      </c>
      <c r="BK51" s="177"/>
      <c r="BL51" s="177"/>
      <c r="BM51" s="177">
        <f>BM43+BM50</f>
        <v>9782833.333</v>
      </c>
      <c r="BN51" s="177"/>
      <c r="BO51" s="177"/>
      <c r="BP51" s="177">
        <f>BP43+BP50</f>
        <v>10158333.33</v>
      </c>
      <c r="BQ51" s="177"/>
      <c r="BR51" s="177"/>
      <c r="BS51" s="177">
        <f>BS43+BS50</f>
        <v>10481833.33</v>
      </c>
      <c r="BT51" s="177"/>
      <c r="BU51" s="177"/>
      <c r="BV51" s="177">
        <f>BV43+BV50</f>
        <v>10857333.33</v>
      </c>
      <c r="BW51" s="177"/>
      <c r="BX51" s="177"/>
      <c r="BY51" s="177">
        <f>BY43+BY50</f>
        <v>11232833.33</v>
      </c>
      <c r="BZ51" s="177"/>
      <c r="CA51" s="177"/>
      <c r="CB51" s="177">
        <f>CB43+CB50</f>
        <v>11608333.33</v>
      </c>
      <c r="CC51" s="177"/>
      <c r="CD51" s="177"/>
      <c r="CE51" s="177">
        <f>CE43+CE50</f>
        <v>11992166.67</v>
      </c>
      <c r="CF51" s="177"/>
      <c r="CG51" s="177"/>
      <c r="CH51" s="177">
        <f>CH43+CH50</f>
        <v>12428000</v>
      </c>
      <c r="CI51" s="177"/>
      <c r="CJ51" s="177"/>
      <c r="CK51" s="177">
        <f>CK43+CK50</f>
        <v>12811833.33</v>
      </c>
      <c r="CL51" s="177"/>
      <c r="CM51" s="177"/>
      <c r="CN51" s="177">
        <f>CN43+CN50</f>
        <v>13239333.33</v>
      </c>
      <c r="CO51" s="2"/>
      <c r="CP51" s="2"/>
    </row>
    <row r="52" ht="13.5" customHeight="1">
      <c r="A52" s="2"/>
      <c r="B52" s="70">
        <f t="shared" si="1"/>
        <v>45</v>
      </c>
      <c r="C52" s="2"/>
      <c r="D52" s="2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2"/>
      <c r="CP52" s="2"/>
    </row>
    <row r="53" ht="18.0" customHeight="1">
      <c r="A53" s="2"/>
      <c r="B53" s="70">
        <f t="shared" si="1"/>
        <v>46</v>
      </c>
      <c r="C53" s="145" t="s">
        <v>170</v>
      </c>
      <c r="D53" s="2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2"/>
      <c r="CP53" s="2"/>
    </row>
    <row r="54" ht="13.5" customHeight="1">
      <c r="A54" s="2"/>
      <c r="B54" s="70">
        <f t="shared" si="1"/>
        <v>47</v>
      </c>
      <c r="C54" s="2" t="s">
        <v>164</v>
      </c>
      <c r="D54" s="2"/>
      <c r="E54" s="173">
        <f>(E15*E36)+(E15*E37)</f>
        <v>612000</v>
      </c>
      <c r="F54" s="173"/>
      <c r="G54" s="173"/>
      <c r="H54" s="173">
        <f>(H15*H36)+(H15*H37)</f>
        <v>630000</v>
      </c>
      <c r="I54" s="173"/>
      <c r="J54" s="173"/>
      <c r="K54" s="173">
        <f>(K15*K36)+(K15*K37)</f>
        <v>648000</v>
      </c>
      <c r="L54" s="173"/>
      <c r="M54" s="173"/>
      <c r="N54" s="173">
        <f>(N15*N36)+(N15*N37)</f>
        <v>666000</v>
      </c>
      <c r="O54" s="173"/>
      <c r="P54" s="173"/>
      <c r="Q54" s="173">
        <f>(Q15*Q36)+(Q15*Q37)</f>
        <v>684000</v>
      </c>
      <c r="R54" s="173"/>
      <c r="S54" s="173"/>
      <c r="T54" s="173">
        <f>(T15*T36)+(T15*T37)</f>
        <v>702000</v>
      </c>
      <c r="U54" s="173"/>
      <c r="V54" s="173"/>
      <c r="W54" s="173">
        <f>(W15*W36)+(W15*W37)</f>
        <v>720000</v>
      </c>
      <c r="X54" s="173"/>
      <c r="Y54" s="173"/>
      <c r="Z54" s="173">
        <f>(Z15*Z36)+(Z15*Z37)</f>
        <v>738000</v>
      </c>
      <c r="AA54" s="173"/>
      <c r="AB54" s="173"/>
      <c r="AC54" s="173">
        <f>(AC15*AC36)+(AC15*AC37)</f>
        <v>756000</v>
      </c>
      <c r="AD54" s="173"/>
      <c r="AE54" s="173"/>
      <c r="AF54" s="173">
        <f>(AF15*AF36)+(AF15*AF37)</f>
        <v>774000</v>
      </c>
      <c r="AG54" s="173"/>
      <c r="AH54" s="173"/>
      <c r="AI54" s="173">
        <f>(AI15*AI36)+(AI15*AI37)</f>
        <v>792000</v>
      </c>
      <c r="AJ54" s="173"/>
      <c r="AK54" s="173"/>
      <c r="AL54" s="173">
        <f>(AL15*AL36)+(AL15*AL37)</f>
        <v>810000</v>
      </c>
      <c r="AM54" s="173"/>
      <c r="AN54" s="173"/>
      <c r="AO54" s="173">
        <f>(AO15*AO36)+(AO15*AO37)</f>
        <v>828000</v>
      </c>
      <c r="AP54" s="173"/>
      <c r="AQ54" s="173"/>
      <c r="AR54" s="173">
        <f>(AR15*AR36)+(AR15*AR37)</f>
        <v>846000</v>
      </c>
      <c r="AS54" s="173"/>
      <c r="AT54" s="173"/>
      <c r="AU54" s="173">
        <f>(AU15*AU36)+(AU15*AU37)</f>
        <v>864000</v>
      </c>
      <c r="AV54" s="173"/>
      <c r="AW54" s="173"/>
      <c r="AX54" s="173">
        <f>(AX15*AX36)+(AX15*AX37)</f>
        <v>882000</v>
      </c>
      <c r="AY54" s="173"/>
      <c r="AZ54" s="173"/>
      <c r="BA54" s="173">
        <f>(BA15*BA36)+(BA15*BA37)</f>
        <v>900000</v>
      </c>
      <c r="BB54" s="173"/>
      <c r="BC54" s="173"/>
      <c r="BD54" s="173">
        <f>(BD15*BD36)+(BD15*BD37)</f>
        <v>936000</v>
      </c>
      <c r="BE54" s="173"/>
      <c r="BF54" s="173"/>
      <c r="BG54" s="173">
        <f>(BG15*BG36)+(BG15*BG37)</f>
        <v>972000</v>
      </c>
      <c r="BH54" s="173"/>
      <c r="BI54" s="173"/>
      <c r="BJ54" s="173">
        <f>(BJ15*BJ36)+(BJ15*BJ37)</f>
        <v>1008000</v>
      </c>
      <c r="BK54" s="173"/>
      <c r="BL54" s="173"/>
      <c r="BM54" s="173">
        <f>(BM15*BM36)+(BM15*BM37)</f>
        <v>1044000</v>
      </c>
      <c r="BN54" s="173"/>
      <c r="BO54" s="173"/>
      <c r="BP54" s="173">
        <f>(BP15*BP36)+(BP15*BP37)</f>
        <v>1080000</v>
      </c>
      <c r="BQ54" s="173"/>
      <c r="BR54" s="173"/>
      <c r="BS54" s="173">
        <f>(BS15*BS36)+(BS15*BS37)</f>
        <v>1116000</v>
      </c>
      <c r="BT54" s="173"/>
      <c r="BU54" s="173"/>
      <c r="BV54" s="173">
        <f>(BV15*BV36)+(BV15*BV37)</f>
        <v>1152000</v>
      </c>
      <c r="BW54" s="173"/>
      <c r="BX54" s="173"/>
      <c r="BY54" s="173">
        <f>(BY15*BY36)+(BY15*BY37)</f>
        <v>1188000</v>
      </c>
      <c r="BZ54" s="173"/>
      <c r="CA54" s="173"/>
      <c r="CB54" s="173">
        <f>(CB15*CB36)+(CB15*CB37)</f>
        <v>1224000</v>
      </c>
      <c r="CC54" s="173"/>
      <c r="CD54" s="173"/>
      <c r="CE54" s="173">
        <f>(CE15*CE36)+(CE15*CE37)</f>
        <v>1260000</v>
      </c>
      <c r="CF54" s="173"/>
      <c r="CG54" s="173"/>
      <c r="CH54" s="173">
        <f>(CH15*CH36)+(CH15*CH37)</f>
        <v>1296000</v>
      </c>
      <c r="CI54" s="173"/>
      <c r="CJ54" s="173"/>
      <c r="CK54" s="173">
        <f>(CK15*CK36)+(CK15*CK37)</f>
        <v>1332000</v>
      </c>
      <c r="CL54" s="173"/>
      <c r="CM54" s="173"/>
      <c r="CN54" s="173">
        <f>(CN15*CN36)+(CN15*CN37)</f>
        <v>1368000</v>
      </c>
      <c r="CO54" s="2"/>
      <c r="CP54" s="2"/>
    </row>
    <row r="55" ht="13.5" customHeight="1">
      <c r="A55" s="2"/>
      <c r="B55" s="70">
        <f t="shared" si="1"/>
        <v>48</v>
      </c>
      <c r="C55" s="2" t="s">
        <v>165</v>
      </c>
      <c r="D55" s="2"/>
      <c r="E55" s="175">
        <f>-E54/3</f>
        <v>-204000</v>
      </c>
      <c r="F55" s="175"/>
      <c r="G55" s="175"/>
      <c r="H55" s="175">
        <f>-H54/3</f>
        <v>-210000</v>
      </c>
      <c r="I55" s="175"/>
      <c r="J55" s="175"/>
      <c r="K55" s="175">
        <f>-K54/3</f>
        <v>-216000</v>
      </c>
      <c r="L55" s="175"/>
      <c r="M55" s="175"/>
      <c r="N55" s="175">
        <f>-N54/3</f>
        <v>-222000</v>
      </c>
      <c r="O55" s="175"/>
      <c r="P55" s="175"/>
      <c r="Q55" s="175">
        <f>-Q54/3</f>
        <v>-228000</v>
      </c>
      <c r="R55" s="175"/>
      <c r="S55" s="175"/>
      <c r="T55" s="175">
        <f>-T54/3</f>
        <v>-234000</v>
      </c>
      <c r="U55" s="175"/>
      <c r="V55" s="175"/>
      <c r="W55" s="175">
        <f>-W54/3</f>
        <v>-240000</v>
      </c>
      <c r="X55" s="175"/>
      <c r="Y55" s="175"/>
      <c r="Z55" s="175">
        <f>-Z54/3</f>
        <v>-246000</v>
      </c>
      <c r="AA55" s="175"/>
      <c r="AB55" s="175"/>
      <c r="AC55" s="175">
        <f>-AC54/3</f>
        <v>-252000</v>
      </c>
      <c r="AD55" s="175"/>
      <c r="AE55" s="175"/>
      <c r="AF55" s="175">
        <f>-AF54/3</f>
        <v>-258000</v>
      </c>
      <c r="AG55" s="175"/>
      <c r="AH55" s="175"/>
      <c r="AI55" s="175">
        <f>-AI54/3</f>
        <v>-264000</v>
      </c>
      <c r="AJ55" s="175"/>
      <c r="AK55" s="175"/>
      <c r="AL55" s="175">
        <f>-AL54/3</f>
        <v>-270000</v>
      </c>
      <c r="AM55" s="175"/>
      <c r="AN55" s="175"/>
      <c r="AO55" s="175">
        <f>-AO54/3</f>
        <v>-276000</v>
      </c>
      <c r="AP55" s="175"/>
      <c r="AQ55" s="175"/>
      <c r="AR55" s="175">
        <f>-AR54/3</f>
        <v>-282000</v>
      </c>
      <c r="AS55" s="175"/>
      <c r="AT55" s="175"/>
      <c r="AU55" s="175">
        <f>-AU54/3</f>
        <v>-288000</v>
      </c>
      <c r="AV55" s="175"/>
      <c r="AW55" s="175"/>
      <c r="AX55" s="175">
        <f>-AX54/3</f>
        <v>-294000</v>
      </c>
      <c r="AY55" s="175"/>
      <c r="AZ55" s="175"/>
      <c r="BA55" s="175">
        <f>-BA54/3</f>
        <v>-300000</v>
      </c>
      <c r="BB55" s="175"/>
      <c r="BC55" s="175"/>
      <c r="BD55" s="175">
        <f>-BD54/3</f>
        <v>-312000</v>
      </c>
      <c r="BE55" s="175"/>
      <c r="BF55" s="175"/>
      <c r="BG55" s="175">
        <f>-BG54/3</f>
        <v>-324000</v>
      </c>
      <c r="BH55" s="175"/>
      <c r="BI55" s="175"/>
      <c r="BJ55" s="175">
        <f>-BJ54/3</f>
        <v>-336000</v>
      </c>
      <c r="BK55" s="175"/>
      <c r="BL55" s="175"/>
      <c r="BM55" s="175">
        <f>-BM54/3</f>
        <v>-348000</v>
      </c>
      <c r="BN55" s="175"/>
      <c r="BO55" s="175"/>
      <c r="BP55" s="175">
        <f>-BP54/3</f>
        <v>-360000</v>
      </c>
      <c r="BQ55" s="175"/>
      <c r="BR55" s="175"/>
      <c r="BS55" s="175">
        <f>-BS54/3</f>
        <v>-372000</v>
      </c>
      <c r="BT55" s="175"/>
      <c r="BU55" s="175"/>
      <c r="BV55" s="175">
        <f>-BV54/3</f>
        <v>-384000</v>
      </c>
      <c r="BW55" s="175"/>
      <c r="BX55" s="175"/>
      <c r="BY55" s="175">
        <f>-BY54/3</f>
        <v>-396000</v>
      </c>
      <c r="BZ55" s="175"/>
      <c r="CA55" s="175"/>
      <c r="CB55" s="175">
        <f>-CB54/3</f>
        <v>-408000</v>
      </c>
      <c r="CC55" s="175"/>
      <c r="CD55" s="175"/>
      <c r="CE55" s="175">
        <f>-CE54/3</f>
        <v>-420000</v>
      </c>
      <c r="CF55" s="175"/>
      <c r="CG55" s="175"/>
      <c r="CH55" s="175">
        <f>-CH54/3</f>
        <v>-432000</v>
      </c>
      <c r="CI55" s="175"/>
      <c r="CJ55" s="175"/>
      <c r="CK55" s="175">
        <f>-CK54/3</f>
        <v>-444000</v>
      </c>
      <c r="CL55" s="175"/>
      <c r="CM55" s="175"/>
      <c r="CN55" s="175">
        <f>-CN54/3</f>
        <v>-456000</v>
      </c>
      <c r="CO55" s="2"/>
      <c r="CP55" s="2"/>
    </row>
    <row r="56" ht="13.5" customHeight="1">
      <c r="A56" s="2"/>
      <c r="B56" s="70">
        <f t="shared" si="1"/>
        <v>49</v>
      </c>
      <c r="C56" s="2" t="s">
        <v>166</v>
      </c>
      <c r="D56" s="2"/>
      <c r="E56" s="173">
        <f>E15*E38</f>
        <v>106250</v>
      </c>
      <c r="F56" s="173"/>
      <c r="G56" s="173"/>
      <c r="H56" s="173">
        <f>H15*H38</f>
        <v>109375</v>
      </c>
      <c r="I56" s="173"/>
      <c r="J56" s="173"/>
      <c r="K56" s="173">
        <f>K15*K38</f>
        <v>112500</v>
      </c>
      <c r="L56" s="173"/>
      <c r="M56" s="173"/>
      <c r="N56" s="173">
        <f>N15*N38</f>
        <v>115625</v>
      </c>
      <c r="O56" s="173"/>
      <c r="P56" s="173"/>
      <c r="Q56" s="173">
        <f>Q15*Q38</f>
        <v>118750</v>
      </c>
      <c r="R56" s="173"/>
      <c r="S56" s="173"/>
      <c r="T56" s="173">
        <f>T15*T38</f>
        <v>121875</v>
      </c>
      <c r="U56" s="173"/>
      <c r="V56" s="173"/>
      <c r="W56" s="173">
        <f>W15*W38</f>
        <v>125000</v>
      </c>
      <c r="X56" s="173"/>
      <c r="Y56" s="173"/>
      <c r="Z56" s="173">
        <f>Z15*Z38</f>
        <v>128125</v>
      </c>
      <c r="AA56" s="173"/>
      <c r="AB56" s="173"/>
      <c r="AC56" s="173">
        <f>AC15*AC38</f>
        <v>131250</v>
      </c>
      <c r="AD56" s="173"/>
      <c r="AE56" s="173"/>
      <c r="AF56" s="173">
        <f>AF15*AF38</f>
        <v>134375</v>
      </c>
      <c r="AG56" s="173"/>
      <c r="AH56" s="173"/>
      <c r="AI56" s="173">
        <f>AI15*AI38</f>
        <v>137500</v>
      </c>
      <c r="AJ56" s="173"/>
      <c r="AK56" s="173"/>
      <c r="AL56" s="173">
        <f>AL15*AL38</f>
        <v>140625</v>
      </c>
      <c r="AM56" s="173"/>
      <c r="AN56" s="173"/>
      <c r="AO56" s="173">
        <f>AO15*AO38</f>
        <v>143750</v>
      </c>
      <c r="AP56" s="173"/>
      <c r="AQ56" s="173"/>
      <c r="AR56" s="173">
        <f>AR15*AR38</f>
        <v>146875</v>
      </c>
      <c r="AS56" s="173"/>
      <c r="AT56" s="173"/>
      <c r="AU56" s="173">
        <f>AU15*AU38</f>
        <v>150000</v>
      </c>
      <c r="AV56" s="173"/>
      <c r="AW56" s="173"/>
      <c r="AX56" s="173">
        <f>AX15*AX38</f>
        <v>153125</v>
      </c>
      <c r="AY56" s="173"/>
      <c r="AZ56" s="173"/>
      <c r="BA56" s="173">
        <f>BA15*BA38</f>
        <v>156250</v>
      </c>
      <c r="BB56" s="173"/>
      <c r="BC56" s="173"/>
      <c r="BD56" s="173">
        <f>BD15*BD38</f>
        <v>162500</v>
      </c>
      <c r="BE56" s="173"/>
      <c r="BF56" s="173"/>
      <c r="BG56" s="173">
        <f>BG15*BG38</f>
        <v>168750</v>
      </c>
      <c r="BH56" s="173"/>
      <c r="BI56" s="173"/>
      <c r="BJ56" s="173">
        <f>BJ15*BJ38</f>
        <v>175000</v>
      </c>
      <c r="BK56" s="173"/>
      <c r="BL56" s="173"/>
      <c r="BM56" s="173">
        <f>BM15*BM38</f>
        <v>181250</v>
      </c>
      <c r="BN56" s="173"/>
      <c r="BO56" s="173"/>
      <c r="BP56" s="173">
        <f>BP15*BP38</f>
        <v>187500</v>
      </c>
      <c r="BQ56" s="173"/>
      <c r="BR56" s="173"/>
      <c r="BS56" s="173">
        <f>BS15*BS38</f>
        <v>193750</v>
      </c>
      <c r="BT56" s="173"/>
      <c r="BU56" s="173"/>
      <c r="BV56" s="173">
        <f>BV15*BV38</f>
        <v>200000</v>
      </c>
      <c r="BW56" s="173"/>
      <c r="BX56" s="173"/>
      <c r="BY56" s="173">
        <f>BY15*BY38</f>
        <v>206250</v>
      </c>
      <c r="BZ56" s="173"/>
      <c r="CA56" s="173"/>
      <c r="CB56" s="173">
        <f>CB15*CB38</f>
        <v>212500</v>
      </c>
      <c r="CC56" s="173"/>
      <c r="CD56" s="173"/>
      <c r="CE56" s="173">
        <f>CE15*CE38</f>
        <v>218750</v>
      </c>
      <c r="CF56" s="173"/>
      <c r="CG56" s="173"/>
      <c r="CH56" s="173">
        <f>CH15*CH38</f>
        <v>225000</v>
      </c>
      <c r="CI56" s="173"/>
      <c r="CJ56" s="173"/>
      <c r="CK56" s="173">
        <f>CK15*CK38</f>
        <v>231250</v>
      </c>
      <c r="CL56" s="173"/>
      <c r="CM56" s="173"/>
      <c r="CN56" s="173">
        <f>CN15*CN38</f>
        <v>237500</v>
      </c>
      <c r="CO56" s="2"/>
      <c r="CP56" s="2"/>
    </row>
    <row r="57" ht="13.5" customHeight="1">
      <c r="A57" s="2"/>
      <c r="B57" s="70">
        <f t="shared" si="1"/>
        <v>50</v>
      </c>
      <c r="C57" s="2" t="s">
        <v>165</v>
      </c>
      <c r="D57" s="2"/>
      <c r="E57" s="175">
        <f>-E56/3</f>
        <v>-35416.66667</v>
      </c>
      <c r="F57" s="175"/>
      <c r="G57" s="175"/>
      <c r="H57" s="175">
        <f>-H56/3</f>
        <v>-36458.33333</v>
      </c>
      <c r="I57" s="175"/>
      <c r="J57" s="175"/>
      <c r="K57" s="175">
        <f>-K56/3</f>
        <v>-37500</v>
      </c>
      <c r="L57" s="175"/>
      <c r="M57" s="175"/>
      <c r="N57" s="175">
        <f>-N56/3</f>
        <v>-38541.66667</v>
      </c>
      <c r="O57" s="175"/>
      <c r="P57" s="175"/>
      <c r="Q57" s="175">
        <f>-Q56/3</f>
        <v>-39583.33333</v>
      </c>
      <c r="R57" s="175"/>
      <c r="S57" s="175"/>
      <c r="T57" s="175">
        <f>-T56/3</f>
        <v>-40625</v>
      </c>
      <c r="U57" s="175"/>
      <c r="V57" s="175"/>
      <c r="W57" s="175">
        <f>-W56/3</f>
        <v>-41666.66667</v>
      </c>
      <c r="X57" s="175"/>
      <c r="Y57" s="175"/>
      <c r="Z57" s="175">
        <f>-Z56/3</f>
        <v>-42708.33333</v>
      </c>
      <c r="AA57" s="175"/>
      <c r="AB57" s="175"/>
      <c r="AC57" s="175">
        <f>-AC56/3</f>
        <v>-43750</v>
      </c>
      <c r="AD57" s="175"/>
      <c r="AE57" s="175"/>
      <c r="AF57" s="175">
        <f>-AF56/3</f>
        <v>-44791.66667</v>
      </c>
      <c r="AG57" s="175"/>
      <c r="AH57" s="175"/>
      <c r="AI57" s="175">
        <f>-AI56/3</f>
        <v>-45833.33333</v>
      </c>
      <c r="AJ57" s="175"/>
      <c r="AK57" s="175"/>
      <c r="AL57" s="175">
        <f>-AL56/3</f>
        <v>-46875</v>
      </c>
      <c r="AM57" s="175"/>
      <c r="AN57" s="175"/>
      <c r="AO57" s="175">
        <f>-AO56/3</f>
        <v>-47916.66667</v>
      </c>
      <c r="AP57" s="175"/>
      <c r="AQ57" s="175"/>
      <c r="AR57" s="175">
        <f>-AR56/3</f>
        <v>-48958.33333</v>
      </c>
      <c r="AS57" s="175"/>
      <c r="AT57" s="175"/>
      <c r="AU57" s="175">
        <f>-AU56/3</f>
        <v>-50000</v>
      </c>
      <c r="AV57" s="175"/>
      <c r="AW57" s="175"/>
      <c r="AX57" s="175">
        <f>-AX56/3</f>
        <v>-51041.66667</v>
      </c>
      <c r="AY57" s="175"/>
      <c r="AZ57" s="175"/>
      <c r="BA57" s="175">
        <f>-BA56/3</f>
        <v>-52083.33333</v>
      </c>
      <c r="BB57" s="175"/>
      <c r="BC57" s="175"/>
      <c r="BD57" s="175">
        <f>-BD56/3</f>
        <v>-54166.66667</v>
      </c>
      <c r="BE57" s="175"/>
      <c r="BF57" s="175"/>
      <c r="BG57" s="175">
        <f>-BG56/3</f>
        <v>-56250</v>
      </c>
      <c r="BH57" s="175"/>
      <c r="BI57" s="175"/>
      <c r="BJ57" s="175">
        <f>-BJ56/3</f>
        <v>-58333.33333</v>
      </c>
      <c r="BK57" s="175"/>
      <c r="BL57" s="175"/>
      <c r="BM57" s="175">
        <f>-BM56/3</f>
        <v>-60416.66667</v>
      </c>
      <c r="BN57" s="175"/>
      <c r="BO57" s="175"/>
      <c r="BP57" s="175">
        <f>-BP56/3</f>
        <v>-62500</v>
      </c>
      <c r="BQ57" s="175"/>
      <c r="BR57" s="175"/>
      <c r="BS57" s="175">
        <f>-BS56/3</f>
        <v>-64583.33333</v>
      </c>
      <c r="BT57" s="175"/>
      <c r="BU57" s="175"/>
      <c r="BV57" s="175">
        <f>-BV56/3</f>
        <v>-66666.66667</v>
      </c>
      <c r="BW57" s="175"/>
      <c r="BX57" s="175"/>
      <c r="BY57" s="175">
        <f>-BY56/3</f>
        <v>-68750</v>
      </c>
      <c r="BZ57" s="175"/>
      <c r="CA57" s="175"/>
      <c r="CB57" s="175">
        <f>-CB56/3</f>
        <v>-70833.33333</v>
      </c>
      <c r="CC57" s="175"/>
      <c r="CD57" s="175"/>
      <c r="CE57" s="175">
        <f>-CE56/3</f>
        <v>-72916.66667</v>
      </c>
      <c r="CF57" s="175"/>
      <c r="CG57" s="175"/>
      <c r="CH57" s="175">
        <f>-CH56/3</f>
        <v>-75000</v>
      </c>
      <c r="CI57" s="175"/>
      <c r="CJ57" s="175"/>
      <c r="CK57" s="175">
        <f>-CK56/3</f>
        <v>-77083.33333</v>
      </c>
      <c r="CL57" s="175"/>
      <c r="CM57" s="175"/>
      <c r="CN57" s="175">
        <f>-CN56/3</f>
        <v>-79166.66667</v>
      </c>
      <c r="CO57" s="2"/>
      <c r="CP57" s="2"/>
    </row>
    <row r="58" ht="13.5" customHeight="1">
      <c r="A58" s="2"/>
      <c r="B58" s="70">
        <f t="shared" si="1"/>
        <v>51</v>
      </c>
      <c r="C58" s="2" t="s">
        <v>167</v>
      </c>
      <c r="D58" s="2"/>
      <c r="E58" s="175">
        <f>E15*E39</f>
        <v>34000</v>
      </c>
      <c r="F58" s="175"/>
      <c r="G58" s="175"/>
      <c r="H58" s="175">
        <f>H15*H39</f>
        <v>35000</v>
      </c>
      <c r="I58" s="175"/>
      <c r="J58" s="175"/>
      <c r="K58" s="175">
        <f>K15*K39</f>
        <v>36000</v>
      </c>
      <c r="L58" s="175"/>
      <c r="M58" s="175"/>
      <c r="N58" s="175">
        <f>N15*N39</f>
        <v>37000</v>
      </c>
      <c r="O58" s="175"/>
      <c r="P58" s="175"/>
      <c r="Q58" s="175">
        <f>Q15*Q39</f>
        <v>38000</v>
      </c>
      <c r="R58" s="175"/>
      <c r="S58" s="175"/>
      <c r="T58" s="175">
        <f>T15*T39</f>
        <v>39000</v>
      </c>
      <c r="U58" s="175"/>
      <c r="V58" s="175"/>
      <c r="W58" s="175">
        <f>W15*W39</f>
        <v>40000</v>
      </c>
      <c r="X58" s="175"/>
      <c r="Y58" s="175"/>
      <c r="Z58" s="175">
        <f>Z15*Z39</f>
        <v>41000</v>
      </c>
      <c r="AA58" s="175"/>
      <c r="AB58" s="175"/>
      <c r="AC58" s="175">
        <f>AC15*AC39</f>
        <v>42000</v>
      </c>
      <c r="AD58" s="175"/>
      <c r="AE58" s="175"/>
      <c r="AF58" s="175">
        <f>AF15*AF39</f>
        <v>43000</v>
      </c>
      <c r="AG58" s="175"/>
      <c r="AH58" s="175"/>
      <c r="AI58" s="175">
        <f>AI15*AI39</f>
        <v>44000</v>
      </c>
      <c r="AJ58" s="175"/>
      <c r="AK58" s="175"/>
      <c r="AL58" s="175">
        <f>AL15*AL39</f>
        <v>45000</v>
      </c>
      <c r="AM58" s="175"/>
      <c r="AN58" s="175"/>
      <c r="AO58" s="175">
        <f>AO15*AO39</f>
        <v>46000</v>
      </c>
      <c r="AP58" s="175"/>
      <c r="AQ58" s="175"/>
      <c r="AR58" s="175">
        <f>AR15*AR39</f>
        <v>47000</v>
      </c>
      <c r="AS58" s="175"/>
      <c r="AT58" s="175"/>
      <c r="AU58" s="175">
        <f>AU15*AU39</f>
        <v>48000</v>
      </c>
      <c r="AV58" s="175"/>
      <c r="AW58" s="175"/>
      <c r="AX58" s="175">
        <f>AX15*AX39</f>
        <v>49000</v>
      </c>
      <c r="AY58" s="175"/>
      <c r="AZ58" s="175"/>
      <c r="BA58" s="175">
        <f>BA15*BA39</f>
        <v>50000</v>
      </c>
      <c r="BB58" s="175"/>
      <c r="BC58" s="175"/>
      <c r="BD58" s="175">
        <f>BD15*BD39</f>
        <v>52000</v>
      </c>
      <c r="BE58" s="175"/>
      <c r="BF58" s="175"/>
      <c r="BG58" s="175">
        <f>BG15*BG39</f>
        <v>54000</v>
      </c>
      <c r="BH58" s="175"/>
      <c r="BI58" s="175"/>
      <c r="BJ58" s="175">
        <f>BJ15*BJ39</f>
        <v>56000</v>
      </c>
      <c r="BK58" s="175"/>
      <c r="BL58" s="175"/>
      <c r="BM58" s="175">
        <f>BM15*BM39</f>
        <v>58000</v>
      </c>
      <c r="BN58" s="175"/>
      <c r="BO58" s="175"/>
      <c r="BP58" s="175">
        <f>BP15*BP39</f>
        <v>60000</v>
      </c>
      <c r="BQ58" s="175"/>
      <c r="BR58" s="175"/>
      <c r="BS58" s="175">
        <f>BS15*BS39</f>
        <v>62000</v>
      </c>
      <c r="BT58" s="175"/>
      <c r="BU58" s="175"/>
      <c r="BV58" s="175">
        <f>BV15*BV39</f>
        <v>64000</v>
      </c>
      <c r="BW58" s="175"/>
      <c r="BX58" s="175"/>
      <c r="BY58" s="175">
        <f>BY15*BY39</f>
        <v>66000</v>
      </c>
      <c r="BZ58" s="175"/>
      <c r="CA58" s="175"/>
      <c r="CB58" s="175">
        <f>CB15*CB39</f>
        <v>68000</v>
      </c>
      <c r="CC58" s="175"/>
      <c r="CD58" s="175"/>
      <c r="CE58" s="175">
        <f>CE15*CE39</f>
        <v>70000</v>
      </c>
      <c r="CF58" s="175"/>
      <c r="CG58" s="175"/>
      <c r="CH58" s="175">
        <f>CH15*CH39</f>
        <v>72000</v>
      </c>
      <c r="CI58" s="175"/>
      <c r="CJ58" s="175"/>
      <c r="CK58" s="175">
        <f>CK15*CK39</f>
        <v>74000</v>
      </c>
      <c r="CL58" s="175"/>
      <c r="CM58" s="175"/>
      <c r="CN58" s="175">
        <f>CN15*CN39</f>
        <v>76000</v>
      </c>
      <c r="CO58" s="2"/>
      <c r="CP58" s="2"/>
    </row>
    <row r="59" ht="18.75" customHeight="1">
      <c r="A59" s="2"/>
      <c r="B59" s="70">
        <f t="shared" si="1"/>
        <v>52</v>
      </c>
      <c r="C59" s="158" t="s">
        <v>171</v>
      </c>
      <c r="D59" s="158"/>
      <c r="E59" s="178">
        <f>SUM(E54:E58)</f>
        <v>512833.3333</v>
      </c>
      <c r="F59" s="178"/>
      <c r="G59" s="178"/>
      <c r="H59" s="178">
        <f>SUM(H54:H58)</f>
        <v>527916.6667</v>
      </c>
      <c r="I59" s="178"/>
      <c r="J59" s="178"/>
      <c r="K59" s="178">
        <f>SUM(K54:K58)</f>
        <v>543000</v>
      </c>
      <c r="L59" s="178"/>
      <c r="M59" s="178"/>
      <c r="N59" s="178">
        <f>SUM(N54:N58)</f>
        <v>558083.3333</v>
      </c>
      <c r="O59" s="178"/>
      <c r="P59" s="178"/>
      <c r="Q59" s="178">
        <f>SUM(Q54:Q58)</f>
        <v>573166.6667</v>
      </c>
      <c r="R59" s="178"/>
      <c r="S59" s="178"/>
      <c r="T59" s="178">
        <f>SUM(T54:T58)</f>
        <v>588250</v>
      </c>
      <c r="U59" s="178"/>
      <c r="V59" s="178"/>
      <c r="W59" s="178">
        <f>SUM(W54:W58)</f>
        <v>603333.3333</v>
      </c>
      <c r="X59" s="178"/>
      <c r="Y59" s="178"/>
      <c r="Z59" s="178">
        <f>SUM(Z54:Z58)</f>
        <v>618416.6667</v>
      </c>
      <c r="AA59" s="178"/>
      <c r="AB59" s="178"/>
      <c r="AC59" s="178">
        <f>SUM(AC54:AC58)</f>
        <v>633500</v>
      </c>
      <c r="AD59" s="178"/>
      <c r="AE59" s="178"/>
      <c r="AF59" s="178">
        <f>SUM(AF54:AF58)</f>
        <v>648583.3333</v>
      </c>
      <c r="AG59" s="178"/>
      <c r="AH59" s="178"/>
      <c r="AI59" s="178">
        <f>SUM(AI54:AI58)</f>
        <v>663666.6667</v>
      </c>
      <c r="AJ59" s="178"/>
      <c r="AK59" s="178"/>
      <c r="AL59" s="178">
        <f>SUM(AL54:AL58)</f>
        <v>678750</v>
      </c>
      <c r="AM59" s="178"/>
      <c r="AN59" s="178"/>
      <c r="AO59" s="178">
        <f>SUM(AO54:AO58)</f>
        <v>693833.3333</v>
      </c>
      <c r="AP59" s="178"/>
      <c r="AQ59" s="178"/>
      <c r="AR59" s="178">
        <f>SUM(AR54:AR58)</f>
        <v>708916.6667</v>
      </c>
      <c r="AS59" s="178"/>
      <c r="AT59" s="178"/>
      <c r="AU59" s="178">
        <f>SUM(AU54:AU58)</f>
        <v>724000</v>
      </c>
      <c r="AV59" s="178"/>
      <c r="AW59" s="178"/>
      <c r="AX59" s="178">
        <f>SUM(AX54:AX58)</f>
        <v>739083.3333</v>
      </c>
      <c r="AY59" s="178"/>
      <c r="AZ59" s="178"/>
      <c r="BA59" s="178">
        <f>SUM(BA54:BA58)</f>
        <v>754166.6667</v>
      </c>
      <c r="BB59" s="178"/>
      <c r="BC59" s="178"/>
      <c r="BD59" s="178">
        <f>SUM(BD54:BD58)</f>
        <v>784333.3333</v>
      </c>
      <c r="BE59" s="178"/>
      <c r="BF59" s="178"/>
      <c r="BG59" s="178">
        <f>SUM(BG54:BG58)</f>
        <v>814500</v>
      </c>
      <c r="BH59" s="178"/>
      <c r="BI59" s="178"/>
      <c r="BJ59" s="178">
        <f>SUM(BJ54:BJ58)</f>
        <v>844666.6667</v>
      </c>
      <c r="BK59" s="178"/>
      <c r="BL59" s="178"/>
      <c r="BM59" s="178">
        <f>SUM(BM54:BM58)</f>
        <v>874833.3333</v>
      </c>
      <c r="BN59" s="178"/>
      <c r="BO59" s="178"/>
      <c r="BP59" s="178">
        <f>SUM(BP54:BP58)</f>
        <v>905000</v>
      </c>
      <c r="BQ59" s="178"/>
      <c r="BR59" s="178"/>
      <c r="BS59" s="178">
        <f>SUM(BS54:BS58)</f>
        <v>935166.6667</v>
      </c>
      <c r="BT59" s="178"/>
      <c r="BU59" s="178"/>
      <c r="BV59" s="178">
        <f>SUM(BV54:BV58)</f>
        <v>965333.3333</v>
      </c>
      <c r="BW59" s="178"/>
      <c r="BX59" s="178"/>
      <c r="BY59" s="178">
        <f>SUM(BY54:BY58)</f>
        <v>995500</v>
      </c>
      <c r="BZ59" s="178"/>
      <c r="CA59" s="178"/>
      <c r="CB59" s="178">
        <f>SUM(CB54:CB58)</f>
        <v>1025666.667</v>
      </c>
      <c r="CC59" s="178"/>
      <c r="CD59" s="178"/>
      <c r="CE59" s="178">
        <f>SUM(CE54:CE58)</f>
        <v>1055833.333</v>
      </c>
      <c r="CF59" s="178"/>
      <c r="CG59" s="178"/>
      <c r="CH59" s="178">
        <f>SUM(CH54:CH58)</f>
        <v>1086000</v>
      </c>
      <c r="CI59" s="178"/>
      <c r="CJ59" s="178"/>
      <c r="CK59" s="178">
        <f>SUM(CK54:CK58)</f>
        <v>1116166.667</v>
      </c>
      <c r="CL59" s="178"/>
      <c r="CM59" s="178"/>
      <c r="CN59" s="178">
        <f>SUM(CN54:CN58)</f>
        <v>1146333.333</v>
      </c>
      <c r="CO59" s="2"/>
      <c r="CP59" s="2"/>
    </row>
    <row r="60" ht="13.5" customHeight="1">
      <c r="A60" s="2"/>
      <c r="B60" s="70">
        <f t="shared" si="1"/>
        <v>53</v>
      </c>
      <c r="C60" s="2"/>
      <c r="D60" s="2"/>
      <c r="E60" s="175"/>
      <c r="F60" s="175"/>
      <c r="G60" s="175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2"/>
      <c r="CP60" s="2"/>
    </row>
    <row r="61" ht="18.0" customHeight="1">
      <c r="A61" s="2"/>
      <c r="B61" s="70">
        <f t="shared" si="1"/>
        <v>54</v>
      </c>
      <c r="C61" s="145" t="s">
        <v>172</v>
      </c>
      <c r="D61" s="2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2"/>
      <c r="CP61" s="2"/>
    </row>
    <row r="62" ht="13.5" customHeight="1">
      <c r="A62" s="2"/>
      <c r="B62" s="70">
        <f t="shared" si="1"/>
        <v>55</v>
      </c>
      <c r="C62" s="2" t="s">
        <v>164</v>
      </c>
      <c r="D62" s="2"/>
      <c r="E62" s="175">
        <f>(E18*E36)+(E18*E37)</f>
        <v>3888000</v>
      </c>
      <c r="F62" s="175"/>
      <c r="G62" s="175"/>
      <c r="H62" s="175">
        <f>(H18*H36)+(H18*H37)</f>
        <v>4104000</v>
      </c>
      <c r="I62" s="175"/>
      <c r="J62" s="175"/>
      <c r="K62" s="175">
        <f>(K18*K36)+(K18*K37)</f>
        <v>4320000</v>
      </c>
      <c r="L62" s="175"/>
      <c r="M62" s="175"/>
      <c r="N62" s="175">
        <f>(N18*N36)+(N18*N37)</f>
        <v>4608000</v>
      </c>
      <c r="O62" s="175"/>
      <c r="P62" s="175"/>
      <c r="Q62" s="175">
        <f>(Q18*Q36)+(Q18*Q37)</f>
        <v>4896000</v>
      </c>
      <c r="R62" s="175"/>
      <c r="S62" s="175"/>
      <c r="T62" s="175">
        <f>(T18*T36)+(T18*T37)</f>
        <v>5184000</v>
      </c>
      <c r="U62" s="175"/>
      <c r="V62" s="175"/>
      <c r="W62" s="175">
        <f>(W18*W36)+(W18*W37)</f>
        <v>5472000</v>
      </c>
      <c r="X62" s="175"/>
      <c r="Y62" s="175"/>
      <c r="Z62" s="175">
        <f>(Z18*Z36)+(Z18*Z37)</f>
        <v>5832000</v>
      </c>
      <c r="AA62" s="175"/>
      <c r="AB62" s="175"/>
      <c r="AC62" s="175">
        <f>(AC18*AC36)+(AC18*AC37)</f>
        <v>6192000</v>
      </c>
      <c r="AD62" s="175"/>
      <c r="AE62" s="175"/>
      <c r="AF62" s="175">
        <f>(AF18*AF36)+(AF18*AF37)</f>
        <v>6552000</v>
      </c>
      <c r="AG62" s="175"/>
      <c r="AH62" s="175"/>
      <c r="AI62" s="175">
        <f>(AI18*AI36)+(AI18*AI37)</f>
        <v>6984000</v>
      </c>
      <c r="AJ62" s="175"/>
      <c r="AK62" s="175"/>
      <c r="AL62" s="175">
        <f>(AL18*AL36)+(AL18*AL37)</f>
        <v>7416000</v>
      </c>
      <c r="AM62" s="175"/>
      <c r="AN62" s="175"/>
      <c r="AO62" s="175">
        <f>(AO18*AO36)+(AO18*AO37)</f>
        <v>7848000</v>
      </c>
      <c r="AP62" s="175"/>
      <c r="AQ62" s="175"/>
      <c r="AR62" s="175">
        <f>(AR18*AR36)+(AR18*AR37)</f>
        <v>8352000</v>
      </c>
      <c r="AS62" s="175"/>
      <c r="AT62" s="175"/>
      <c r="AU62" s="175">
        <f>(AU18*AU36)+(AU18*AU37)</f>
        <v>8856000</v>
      </c>
      <c r="AV62" s="175"/>
      <c r="AW62" s="175"/>
      <c r="AX62" s="175">
        <f>(AX18*AX36)+(AX18*AX37)</f>
        <v>9360000</v>
      </c>
      <c r="AY62" s="175"/>
      <c r="AZ62" s="175"/>
      <c r="BA62" s="175">
        <f>(BA18*BA36)+(BA18*BA37)</f>
        <v>9936000</v>
      </c>
      <c r="BB62" s="175"/>
      <c r="BC62" s="175"/>
      <c r="BD62" s="175">
        <f>(BD18*BD36)+(BD18*BD37)</f>
        <v>10512000</v>
      </c>
      <c r="BE62" s="175"/>
      <c r="BF62" s="175"/>
      <c r="BG62" s="175">
        <f>(BG18*BG36)+(BG18*BG37)</f>
        <v>11160000</v>
      </c>
      <c r="BH62" s="175"/>
      <c r="BI62" s="175"/>
      <c r="BJ62" s="175">
        <f>(BJ18*BJ36)+(BJ18*BJ37)</f>
        <v>11808000</v>
      </c>
      <c r="BK62" s="175"/>
      <c r="BL62" s="175"/>
      <c r="BM62" s="175">
        <f>(BM18*BM36)+(BM18*BM37)</f>
        <v>12528000</v>
      </c>
      <c r="BN62" s="175"/>
      <c r="BO62" s="175"/>
      <c r="BP62" s="175">
        <f>(BP18*BP36)+(BP18*BP37)</f>
        <v>13320000</v>
      </c>
      <c r="BQ62" s="175"/>
      <c r="BR62" s="175"/>
      <c r="BS62" s="175">
        <f>(BS18*BS36)+(BS18*BS37)</f>
        <v>14112000</v>
      </c>
      <c r="BT62" s="175"/>
      <c r="BU62" s="175"/>
      <c r="BV62" s="175">
        <f>(BV18*BV36)+(BV18*BV37)</f>
        <v>14976000</v>
      </c>
      <c r="BW62" s="175"/>
      <c r="BX62" s="175"/>
      <c r="BY62" s="175">
        <f>(BY18*BY36)+(BY18*BY37)</f>
        <v>15912000</v>
      </c>
      <c r="BZ62" s="175"/>
      <c r="CA62" s="175"/>
      <c r="CB62" s="175">
        <f>(CB18*CB36)+(CB18*CB37)</f>
        <v>16848000</v>
      </c>
      <c r="CC62" s="175"/>
      <c r="CD62" s="175"/>
      <c r="CE62" s="175">
        <f>(CE18*CE36)+(CE18*CE37)</f>
        <v>17856000</v>
      </c>
      <c r="CF62" s="175"/>
      <c r="CG62" s="175"/>
      <c r="CH62" s="175">
        <f>(CH18*CH36)+(CH18*CH37)</f>
        <v>18936000</v>
      </c>
      <c r="CI62" s="175"/>
      <c r="CJ62" s="175"/>
      <c r="CK62" s="175">
        <f>(CK18*CK36)+(CK18*CK37)</f>
        <v>20088000</v>
      </c>
      <c r="CL62" s="175"/>
      <c r="CM62" s="175"/>
      <c r="CN62" s="175">
        <f>(CN18*CN36)+(CN18*CN37)</f>
        <v>21312000</v>
      </c>
      <c r="CO62" s="2"/>
      <c r="CP62" s="2"/>
    </row>
    <row r="63" ht="13.5" customHeight="1">
      <c r="A63" s="2"/>
      <c r="B63" s="70">
        <f t="shared" si="1"/>
        <v>56</v>
      </c>
      <c r="C63" s="2" t="s">
        <v>165</v>
      </c>
      <c r="D63" s="2"/>
      <c r="E63" s="175">
        <f>-E62/3</f>
        <v>-1296000</v>
      </c>
      <c r="F63" s="175"/>
      <c r="G63" s="175"/>
      <c r="H63" s="175">
        <f>-H62/3</f>
        <v>-1368000</v>
      </c>
      <c r="I63" s="175"/>
      <c r="J63" s="175"/>
      <c r="K63" s="175">
        <f>-K62/3</f>
        <v>-1440000</v>
      </c>
      <c r="L63" s="175"/>
      <c r="M63" s="175"/>
      <c r="N63" s="175">
        <f>-N62/3</f>
        <v>-1536000</v>
      </c>
      <c r="O63" s="175"/>
      <c r="P63" s="175"/>
      <c r="Q63" s="175">
        <f>-Q62/3</f>
        <v>-1632000</v>
      </c>
      <c r="R63" s="175"/>
      <c r="S63" s="175"/>
      <c r="T63" s="175">
        <f>-T62/3</f>
        <v>-1728000</v>
      </c>
      <c r="U63" s="175"/>
      <c r="V63" s="175"/>
      <c r="W63" s="175">
        <f>-W62/3</f>
        <v>-1824000</v>
      </c>
      <c r="X63" s="175"/>
      <c r="Y63" s="175"/>
      <c r="Z63" s="175">
        <f>-Z62/3</f>
        <v>-1944000</v>
      </c>
      <c r="AA63" s="175"/>
      <c r="AB63" s="175"/>
      <c r="AC63" s="175">
        <f>-AC62/3</f>
        <v>-2064000</v>
      </c>
      <c r="AD63" s="175"/>
      <c r="AE63" s="175"/>
      <c r="AF63" s="175">
        <f>-AF62/3</f>
        <v>-2184000</v>
      </c>
      <c r="AG63" s="175"/>
      <c r="AH63" s="175"/>
      <c r="AI63" s="175">
        <f>-AI62/3</f>
        <v>-2328000</v>
      </c>
      <c r="AJ63" s="175"/>
      <c r="AK63" s="175"/>
      <c r="AL63" s="175">
        <f>-AL62/3</f>
        <v>-2472000</v>
      </c>
      <c r="AM63" s="175"/>
      <c r="AN63" s="175"/>
      <c r="AO63" s="175">
        <f>-AO62/3</f>
        <v>-2616000</v>
      </c>
      <c r="AP63" s="175"/>
      <c r="AQ63" s="175"/>
      <c r="AR63" s="175">
        <f>-AR62/3</f>
        <v>-2784000</v>
      </c>
      <c r="AS63" s="175"/>
      <c r="AT63" s="175"/>
      <c r="AU63" s="175">
        <f>-AU62/3</f>
        <v>-2952000</v>
      </c>
      <c r="AV63" s="175"/>
      <c r="AW63" s="175"/>
      <c r="AX63" s="175">
        <f>-AX62/3</f>
        <v>-3120000</v>
      </c>
      <c r="AY63" s="175"/>
      <c r="AZ63" s="175"/>
      <c r="BA63" s="175">
        <f>-BA62/3</f>
        <v>-3312000</v>
      </c>
      <c r="BB63" s="175"/>
      <c r="BC63" s="175"/>
      <c r="BD63" s="175">
        <f>-BD62/3</f>
        <v>-3504000</v>
      </c>
      <c r="BE63" s="175"/>
      <c r="BF63" s="175"/>
      <c r="BG63" s="175">
        <f>-BG62/3</f>
        <v>-3720000</v>
      </c>
      <c r="BH63" s="175"/>
      <c r="BI63" s="175"/>
      <c r="BJ63" s="175">
        <f>-BJ62/3</f>
        <v>-3936000</v>
      </c>
      <c r="BK63" s="175"/>
      <c r="BL63" s="175"/>
      <c r="BM63" s="175">
        <f>-BM62/3</f>
        <v>-4176000</v>
      </c>
      <c r="BN63" s="175"/>
      <c r="BO63" s="175"/>
      <c r="BP63" s="175">
        <f>-BP62/3</f>
        <v>-4440000</v>
      </c>
      <c r="BQ63" s="175"/>
      <c r="BR63" s="175"/>
      <c r="BS63" s="175">
        <f>-BS62/3</f>
        <v>-4704000</v>
      </c>
      <c r="BT63" s="175"/>
      <c r="BU63" s="175"/>
      <c r="BV63" s="175">
        <f>-BV62/3</f>
        <v>-4992000</v>
      </c>
      <c r="BW63" s="175"/>
      <c r="BX63" s="175"/>
      <c r="BY63" s="175">
        <f>-BY62/3</f>
        <v>-5304000</v>
      </c>
      <c r="BZ63" s="175"/>
      <c r="CA63" s="175"/>
      <c r="CB63" s="175">
        <f>-CB62/3</f>
        <v>-5616000</v>
      </c>
      <c r="CC63" s="175"/>
      <c r="CD63" s="175"/>
      <c r="CE63" s="175">
        <f>-CE62/3</f>
        <v>-5952000</v>
      </c>
      <c r="CF63" s="175"/>
      <c r="CG63" s="175"/>
      <c r="CH63" s="175">
        <f>-CH62/3</f>
        <v>-6312000</v>
      </c>
      <c r="CI63" s="175"/>
      <c r="CJ63" s="175"/>
      <c r="CK63" s="175">
        <f>-CK62/3</f>
        <v>-6696000</v>
      </c>
      <c r="CL63" s="175"/>
      <c r="CM63" s="175"/>
      <c r="CN63" s="175">
        <f>-CN62/3</f>
        <v>-7104000</v>
      </c>
      <c r="CO63" s="2"/>
      <c r="CP63" s="2"/>
    </row>
    <row r="64" ht="13.5" customHeight="1">
      <c r="A64" s="2"/>
      <c r="B64" s="70">
        <f t="shared" si="1"/>
        <v>57</v>
      </c>
      <c r="C64" s="2" t="s">
        <v>166</v>
      </c>
      <c r="D64" s="2"/>
      <c r="E64" s="175">
        <f>E31*E38</f>
        <v>512500</v>
      </c>
      <c r="F64" s="175"/>
      <c r="G64" s="175"/>
      <c r="H64" s="175">
        <f>H31*H38</f>
        <v>537500</v>
      </c>
      <c r="I64" s="175"/>
      <c r="J64" s="175"/>
      <c r="K64" s="175">
        <f>K31*K38</f>
        <v>562500</v>
      </c>
      <c r="L64" s="175"/>
      <c r="M64" s="175"/>
      <c r="N64" s="175">
        <f>N31*N38</f>
        <v>600000</v>
      </c>
      <c r="O64" s="175"/>
      <c r="P64" s="175"/>
      <c r="Q64" s="175">
        <f>Q31*Q38</f>
        <v>637500</v>
      </c>
      <c r="R64" s="175"/>
      <c r="S64" s="175"/>
      <c r="T64" s="175">
        <f>T31*T38</f>
        <v>675000</v>
      </c>
      <c r="U64" s="175"/>
      <c r="V64" s="175"/>
      <c r="W64" s="175">
        <f>W31*W38</f>
        <v>712500</v>
      </c>
      <c r="X64" s="175"/>
      <c r="Y64" s="175"/>
      <c r="Z64" s="175">
        <f>Z31*Z38</f>
        <v>762500</v>
      </c>
      <c r="AA64" s="175"/>
      <c r="AB64" s="175"/>
      <c r="AC64" s="175">
        <f>AC31*AC38</f>
        <v>812500</v>
      </c>
      <c r="AD64" s="175"/>
      <c r="AE64" s="175"/>
      <c r="AF64" s="175">
        <f>AF31*AF38</f>
        <v>850000</v>
      </c>
      <c r="AG64" s="175"/>
      <c r="AH64" s="175"/>
      <c r="AI64" s="175">
        <f>AI31*AI38</f>
        <v>912500</v>
      </c>
      <c r="AJ64" s="175"/>
      <c r="AK64" s="175"/>
      <c r="AL64" s="175">
        <f>AL31*AL38</f>
        <v>962500</v>
      </c>
      <c r="AM64" s="175"/>
      <c r="AN64" s="175"/>
      <c r="AO64" s="175">
        <f>AO31*AO38</f>
        <v>1025000</v>
      </c>
      <c r="AP64" s="175"/>
      <c r="AQ64" s="175"/>
      <c r="AR64" s="175">
        <f>AR31*AR38</f>
        <v>1087500</v>
      </c>
      <c r="AS64" s="175"/>
      <c r="AT64" s="175"/>
      <c r="AU64" s="175">
        <f>AU31*AU38</f>
        <v>1150000</v>
      </c>
      <c r="AV64" s="175"/>
      <c r="AW64" s="175"/>
      <c r="AX64" s="175">
        <f>AX31*AX38</f>
        <v>1225000</v>
      </c>
      <c r="AY64" s="175"/>
      <c r="AZ64" s="175"/>
      <c r="BA64" s="175">
        <f>BA31*BA38</f>
        <v>1300000</v>
      </c>
      <c r="BB64" s="175"/>
      <c r="BC64" s="175"/>
      <c r="BD64" s="175">
        <f>BD31*BD38</f>
        <v>1375000</v>
      </c>
      <c r="BE64" s="175"/>
      <c r="BF64" s="175"/>
      <c r="BG64" s="175">
        <f>BG31*BG38</f>
        <v>1450000</v>
      </c>
      <c r="BH64" s="175"/>
      <c r="BI64" s="175"/>
      <c r="BJ64" s="175">
        <f>BJ31*BJ38</f>
        <v>1537500</v>
      </c>
      <c r="BK64" s="175"/>
      <c r="BL64" s="175"/>
      <c r="BM64" s="175">
        <f>BM31*BM38</f>
        <v>1637500</v>
      </c>
      <c r="BN64" s="175"/>
      <c r="BO64" s="175"/>
      <c r="BP64" s="175">
        <f>BP31*BP38</f>
        <v>1737500</v>
      </c>
      <c r="BQ64" s="175"/>
      <c r="BR64" s="175"/>
      <c r="BS64" s="175">
        <f>BS31*BS38</f>
        <v>1837500</v>
      </c>
      <c r="BT64" s="175"/>
      <c r="BU64" s="175"/>
      <c r="BV64" s="175">
        <f>BV31*BV38</f>
        <v>1950000</v>
      </c>
      <c r="BW64" s="175"/>
      <c r="BX64" s="175"/>
      <c r="BY64" s="175">
        <f>BY31*BY38</f>
        <v>2075000</v>
      </c>
      <c r="BZ64" s="175"/>
      <c r="CA64" s="175"/>
      <c r="CB64" s="175">
        <f>CB31*CB38</f>
        <v>2200000</v>
      </c>
      <c r="CC64" s="175"/>
      <c r="CD64" s="175"/>
      <c r="CE64" s="175">
        <f>CE31*CE38</f>
        <v>2325000</v>
      </c>
      <c r="CF64" s="175"/>
      <c r="CG64" s="175"/>
      <c r="CH64" s="175">
        <f>CH31*CH38</f>
        <v>2462500</v>
      </c>
      <c r="CI64" s="175"/>
      <c r="CJ64" s="175"/>
      <c r="CK64" s="175">
        <f>CK31*CK38</f>
        <v>2612500</v>
      </c>
      <c r="CL64" s="175"/>
      <c r="CM64" s="175"/>
      <c r="CN64" s="175">
        <f>CN31*CN38</f>
        <v>2775000</v>
      </c>
      <c r="CO64" s="2"/>
      <c r="CP64" s="2"/>
    </row>
    <row r="65" ht="13.5" customHeight="1">
      <c r="A65" s="2"/>
      <c r="B65" s="70">
        <f t="shared" si="1"/>
        <v>58</v>
      </c>
      <c r="C65" s="2" t="s">
        <v>165</v>
      </c>
      <c r="D65" s="2"/>
      <c r="E65" s="175">
        <f>-E64/3</f>
        <v>-170833.3333</v>
      </c>
      <c r="F65" s="175"/>
      <c r="G65" s="175"/>
      <c r="H65" s="175">
        <f>-H64/3</f>
        <v>-179166.6667</v>
      </c>
      <c r="I65" s="175"/>
      <c r="J65" s="175"/>
      <c r="K65" s="175">
        <f>-K64/3</f>
        <v>-187500</v>
      </c>
      <c r="L65" s="175"/>
      <c r="M65" s="175"/>
      <c r="N65" s="175">
        <f>-N64/3</f>
        <v>-200000</v>
      </c>
      <c r="O65" s="175"/>
      <c r="P65" s="175"/>
      <c r="Q65" s="175">
        <f>-Q64/3</f>
        <v>-212500</v>
      </c>
      <c r="R65" s="175"/>
      <c r="S65" s="175"/>
      <c r="T65" s="175">
        <f>-T64/3</f>
        <v>-225000</v>
      </c>
      <c r="U65" s="175"/>
      <c r="V65" s="175"/>
      <c r="W65" s="175">
        <f>-W64/3</f>
        <v>-237500</v>
      </c>
      <c r="X65" s="175"/>
      <c r="Y65" s="175"/>
      <c r="Z65" s="175">
        <f>-Z64/3</f>
        <v>-254166.6667</v>
      </c>
      <c r="AA65" s="175"/>
      <c r="AB65" s="175"/>
      <c r="AC65" s="175">
        <f>-AC64/3</f>
        <v>-270833.3333</v>
      </c>
      <c r="AD65" s="175"/>
      <c r="AE65" s="175"/>
      <c r="AF65" s="175">
        <f>-AF64/3</f>
        <v>-283333.3333</v>
      </c>
      <c r="AG65" s="175"/>
      <c r="AH65" s="175"/>
      <c r="AI65" s="175">
        <f>-AI64/3</f>
        <v>-304166.6667</v>
      </c>
      <c r="AJ65" s="175"/>
      <c r="AK65" s="175"/>
      <c r="AL65" s="175">
        <f>-AL64/3</f>
        <v>-320833.3333</v>
      </c>
      <c r="AM65" s="175"/>
      <c r="AN65" s="175"/>
      <c r="AO65" s="175">
        <f>-AO64/3</f>
        <v>-341666.6667</v>
      </c>
      <c r="AP65" s="175"/>
      <c r="AQ65" s="175"/>
      <c r="AR65" s="175">
        <f>-AR64/3</f>
        <v>-362500</v>
      </c>
      <c r="AS65" s="175"/>
      <c r="AT65" s="175"/>
      <c r="AU65" s="175">
        <f>-AU64/3</f>
        <v>-383333.3333</v>
      </c>
      <c r="AV65" s="175"/>
      <c r="AW65" s="175"/>
      <c r="AX65" s="175">
        <f>-AX64/3</f>
        <v>-408333.3333</v>
      </c>
      <c r="AY65" s="175"/>
      <c r="AZ65" s="175"/>
      <c r="BA65" s="175">
        <f>-BA64/3</f>
        <v>-433333.3333</v>
      </c>
      <c r="BB65" s="175"/>
      <c r="BC65" s="175"/>
      <c r="BD65" s="175">
        <f>-BD64/3</f>
        <v>-458333.3333</v>
      </c>
      <c r="BE65" s="175"/>
      <c r="BF65" s="175"/>
      <c r="BG65" s="175">
        <f>-BG64/3</f>
        <v>-483333.3333</v>
      </c>
      <c r="BH65" s="175"/>
      <c r="BI65" s="175"/>
      <c r="BJ65" s="175">
        <f>-BJ64/3</f>
        <v>-512500</v>
      </c>
      <c r="BK65" s="175"/>
      <c r="BL65" s="175"/>
      <c r="BM65" s="175">
        <f>-BM64/3</f>
        <v>-545833.3333</v>
      </c>
      <c r="BN65" s="175"/>
      <c r="BO65" s="175"/>
      <c r="BP65" s="175">
        <f>-BP64/3</f>
        <v>-579166.6667</v>
      </c>
      <c r="BQ65" s="175"/>
      <c r="BR65" s="175"/>
      <c r="BS65" s="175">
        <f>-BS64/3</f>
        <v>-612500</v>
      </c>
      <c r="BT65" s="175"/>
      <c r="BU65" s="175"/>
      <c r="BV65" s="175">
        <f>-BV64/3</f>
        <v>-650000</v>
      </c>
      <c r="BW65" s="175"/>
      <c r="BX65" s="175"/>
      <c r="BY65" s="175">
        <f>-BY64/3</f>
        <v>-691666.6667</v>
      </c>
      <c r="BZ65" s="175"/>
      <c r="CA65" s="175"/>
      <c r="CB65" s="175">
        <f>-CB64/3</f>
        <v>-733333.3333</v>
      </c>
      <c r="CC65" s="175"/>
      <c r="CD65" s="175"/>
      <c r="CE65" s="175">
        <f>-CE64/3</f>
        <v>-775000</v>
      </c>
      <c r="CF65" s="175"/>
      <c r="CG65" s="175"/>
      <c r="CH65" s="175">
        <f>-CH64/3</f>
        <v>-820833.3333</v>
      </c>
      <c r="CI65" s="175"/>
      <c r="CJ65" s="175"/>
      <c r="CK65" s="175">
        <f>-CK64/3</f>
        <v>-870833.3333</v>
      </c>
      <c r="CL65" s="175"/>
      <c r="CM65" s="175"/>
      <c r="CN65" s="175">
        <f>-CN64/3</f>
        <v>-925000</v>
      </c>
      <c r="CO65" s="2"/>
      <c r="CP65" s="2"/>
    </row>
    <row r="66" ht="13.5" customHeight="1">
      <c r="A66" s="2"/>
      <c r="B66" s="70">
        <f t="shared" si="1"/>
        <v>59</v>
      </c>
      <c r="C66" s="17" t="s">
        <v>167</v>
      </c>
      <c r="D66" s="17"/>
      <c r="E66" s="179">
        <f>E31*E39</f>
        <v>164000</v>
      </c>
      <c r="F66" s="179"/>
      <c r="G66" s="179"/>
      <c r="H66" s="179">
        <f>H31*H39</f>
        <v>172000</v>
      </c>
      <c r="I66" s="179"/>
      <c r="J66" s="179"/>
      <c r="K66" s="179">
        <f>K31*K39</f>
        <v>180000</v>
      </c>
      <c r="L66" s="179"/>
      <c r="M66" s="179"/>
      <c r="N66" s="179">
        <f>N31*N39</f>
        <v>192000</v>
      </c>
      <c r="O66" s="179"/>
      <c r="P66" s="179"/>
      <c r="Q66" s="179">
        <f>Q31*Q39</f>
        <v>204000</v>
      </c>
      <c r="R66" s="179"/>
      <c r="S66" s="179"/>
      <c r="T66" s="179">
        <f>T31*T39</f>
        <v>216000</v>
      </c>
      <c r="U66" s="179"/>
      <c r="V66" s="179"/>
      <c r="W66" s="179">
        <f>W31*W39</f>
        <v>228000</v>
      </c>
      <c r="X66" s="179"/>
      <c r="Y66" s="179"/>
      <c r="Z66" s="179">
        <f>Z31*Z39</f>
        <v>244000</v>
      </c>
      <c r="AA66" s="179"/>
      <c r="AB66" s="179"/>
      <c r="AC66" s="179">
        <f>AC31*AC39</f>
        <v>260000</v>
      </c>
      <c r="AD66" s="179"/>
      <c r="AE66" s="179"/>
      <c r="AF66" s="179">
        <f>AF31*AF39</f>
        <v>272000</v>
      </c>
      <c r="AG66" s="179"/>
      <c r="AH66" s="179"/>
      <c r="AI66" s="179">
        <f>AI31*AI39</f>
        <v>292000</v>
      </c>
      <c r="AJ66" s="179"/>
      <c r="AK66" s="179"/>
      <c r="AL66" s="179">
        <f>AL31*AL39</f>
        <v>308000</v>
      </c>
      <c r="AM66" s="179"/>
      <c r="AN66" s="179"/>
      <c r="AO66" s="179">
        <f>AO31*AO39</f>
        <v>328000</v>
      </c>
      <c r="AP66" s="179"/>
      <c r="AQ66" s="179"/>
      <c r="AR66" s="179">
        <f>AR31*AR39</f>
        <v>348000</v>
      </c>
      <c r="AS66" s="179"/>
      <c r="AT66" s="179"/>
      <c r="AU66" s="179">
        <f>AU31*AU39</f>
        <v>368000</v>
      </c>
      <c r="AV66" s="179"/>
      <c r="AW66" s="179"/>
      <c r="AX66" s="179">
        <f>AX31*AX39</f>
        <v>392000</v>
      </c>
      <c r="AY66" s="179"/>
      <c r="AZ66" s="179"/>
      <c r="BA66" s="179">
        <f>BA31*BA39</f>
        <v>416000</v>
      </c>
      <c r="BB66" s="179"/>
      <c r="BC66" s="179"/>
      <c r="BD66" s="179">
        <f>BD31*BD39</f>
        <v>440000</v>
      </c>
      <c r="BE66" s="179"/>
      <c r="BF66" s="179"/>
      <c r="BG66" s="179">
        <f>BG31*BG39</f>
        <v>464000</v>
      </c>
      <c r="BH66" s="179"/>
      <c r="BI66" s="179"/>
      <c r="BJ66" s="179">
        <f>BJ31*BJ39</f>
        <v>492000</v>
      </c>
      <c r="BK66" s="179"/>
      <c r="BL66" s="179"/>
      <c r="BM66" s="179">
        <f>BM31*BM39</f>
        <v>524000</v>
      </c>
      <c r="BN66" s="179"/>
      <c r="BO66" s="179"/>
      <c r="BP66" s="179">
        <f>BP31*BP39</f>
        <v>556000</v>
      </c>
      <c r="BQ66" s="179"/>
      <c r="BR66" s="179"/>
      <c r="BS66" s="179">
        <f>BS31*BS39</f>
        <v>588000</v>
      </c>
      <c r="BT66" s="179"/>
      <c r="BU66" s="179"/>
      <c r="BV66" s="179">
        <f>BV31*BV39</f>
        <v>624000</v>
      </c>
      <c r="BW66" s="179"/>
      <c r="BX66" s="179"/>
      <c r="BY66" s="179">
        <f>BY31*BY39</f>
        <v>664000</v>
      </c>
      <c r="BZ66" s="179"/>
      <c r="CA66" s="179"/>
      <c r="CB66" s="179">
        <f>CB31*CB39</f>
        <v>704000</v>
      </c>
      <c r="CC66" s="179"/>
      <c r="CD66" s="179"/>
      <c r="CE66" s="179">
        <f>CE31*CE39</f>
        <v>744000</v>
      </c>
      <c r="CF66" s="179"/>
      <c r="CG66" s="179"/>
      <c r="CH66" s="179">
        <f>CH31*CH39</f>
        <v>788000</v>
      </c>
      <c r="CI66" s="179"/>
      <c r="CJ66" s="179"/>
      <c r="CK66" s="179">
        <f>CK31*CK39</f>
        <v>836000</v>
      </c>
      <c r="CL66" s="179"/>
      <c r="CM66" s="179"/>
      <c r="CN66" s="179">
        <f>CN31*CN39</f>
        <v>888000</v>
      </c>
      <c r="CO66" s="2"/>
      <c r="CP66" s="2"/>
    </row>
    <row r="67" ht="18.75" customHeight="1">
      <c r="A67" s="2"/>
      <c r="B67" s="70">
        <f t="shared" si="1"/>
        <v>60</v>
      </c>
      <c r="C67" s="158" t="s">
        <v>173</v>
      </c>
      <c r="D67" s="158"/>
      <c r="E67" s="178">
        <f>SUM(E62:E66)</f>
        <v>3097666.667</v>
      </c>
      <c r="F67" s="178"/>
      <c r="G67" s="178"/>
      <c r="H67" s="178">
        <f>SUM(H62:H66)</f>
        <v>3266333.333</v>
      </c>
      <c r="I67" s="178"/>
      <c r="J67" s="178"/>
      <c r="K67" s="178">
        <f>SUM(K62:K66)</f>
        <v>3435000</v>
      </c>
      <c r="L67" s="178"/>
      <c r="M67" s="178"/>
      <c r="N67" s="178">
        <f>SUM(N62:N66)</f>
        <v>3664000</v>
      </c>
      <c r="O67" s="178"/>
      <c r="P67" s="178"/>
      <c r="Q67" s="178">
        <f>SUM(Q62:Q66)</f>
        <v>3893000</v>
      </c>
      <c r="R67" s="178"/>
      <c r="S67" s="178"/>
      <c r="T67" s="178">
        <f>SUM(T62:T66)</f>
        <v>4122000</v>
      </c>
      <c r="U67" s="178"/>
      <c r="V67" s="178"/>
      <c r="W67" s="178">
        <f>SUM(W62:W66)</f>
        <v>4351000</v>
      </c>
      <c r="X67" s="178"/>
      <c r="Y67" s="178"/>
      <c r="Z67" s="178">
        <f>SUM(Z62:Z66)</f>
        <v>4640333.333</v>
      </c>
      <c r="AA67" s="178"/>
      <c r="AB67" s="178"/>
      <c r="AC67" s="178">
        <f>SUM(AC62:AC66)</f>
        <v>4929666.667</v>
      </c>
      <c r="AD67" s="178"/>
      <c r="AE67" s="178"/>
      <c r="AF67" s="178">
        <f>SUM(AF62:AF66)</f>
        <v>5206666.667</v>
      </c>
      <c r="AG67" s="178"/>
      <c r="AH67" s="178"/>
      <c r="AI67" s="178">
        <f>SUM(AI62:AI66)</f>
        <v>5556333.333</v>
      </c>
      <c r="AJ67" s="178"/>
      <c r="AK67" s="178"/>
      <c r="AL67" s="178">
        <f>SUM(AL62:AL66)</f>
        <v>5893666.667</v>
      </c>
      <c r="AM67" s="178"/>
      <c r="AN67" s="178"/>
      <c r="AO67" s="178">
        <f>SUM(AO62:AO66)</f>
        <v>6243333.333</v>
      </c>
      <c r="AP67" s="178"/>
      <c r="AQ67" s="178"/>
      <c r="AR67" s="178">
        <f>SUM(AR62:AR66)</f>
        <v>6641000</v>
      </c>
      <c r="AS67" s="178"/>
      <c r="AT67" s="178"/>
      <c r="AU67" s="178">
        <f>SUM(AU62:AU66)</f>
        <v>7038666.667</v>
      </c>
      <c r="AV67" s="178"/>
      <c r="AW67" s="178"/>
      <c r="AX67" s="178">
        <f>SUM(AX62:AX66)</f>
        <v>7448666.667</v>
      </c>
      <c r="AY67" s="178"/>
      <c r="AZ67" s="178"/>
      <c r="BA67" s="178">
        <f>SUM(BA62:BA66)</f>
        <v>7906666.667</v>
      </c>
      <c r="BB67" s="178"/>
      <c r="BC67" s="178"/>
      <c r="BD67" s="178">
        <f>SUM(BD62:BD66)</f>
        <v>8364666.667</v>
      </c>
      <c r="BE67" s="178"/>
      <c r="BF67" s="178"/>
      <c r="BG67" s="178">
        <f>SUM(BG62:BG66)</f>
        <v>8870666.667</v>
      </c>
      <c r="BH67" s="178"/>
      <c r="BI67" s="178"/>
      <c r="BJ67" s="178">
        <f>SUM(BJ62:BJ66)</f>
        <v>9389000</v>
      </c>
      <c r="BK67" s="178"/>
      <c r="BL67" s="178"/>
      <c r="BM67" s="178">
        <f>SUM(BM62:BM66)</f>
        <v>9967666.667</v>
      </c>
      <c r="BN67" s="178"/>
      <c r="BO67" s="178"/>
      <c r="BP67" s="178">
        <f>SUM(BP62:BP66)</f>
        <v>10594333.33</v>
      </c>
      <c r="BQ67" s="178"/>
      <c r="BR67" s="178"/>
      <c r="BS67" s="178">
        <f>SUM(BS62:BS66)</f>
        <v>11221000</v>
      </c>
      <c r="BT67" s="178"/>
      <c r="BU67" s="178"/>
      <c r="BV67" s="178">
        <f>SUM(BV62:BV66)</f>
        <v>11908000</v>
      </c>
      <c r="BW67" s="178"/>
      <c r="BX67" s="178"/>
      <c r="BY67" s="178">
        <f>SUM(BY62:BY66)</f>
        <v>12655333.33</v>
      </c>
      <c r="BZ67" s="178"/>
      <c r="CA67" s="178"/>
      <c r="CB67" s="178">
        <f>SUM(CB62:CB66)</f>
        <v>13402666.67</v>
      </c>
      <c r="CC67" s="178"/>
      <c r="CD67" s="178"/>
      <c r="CE67" s="178">
        <f>SUM(CE62:CE66)</f>
        <v>14198000</v>
      </c>
      <c r="CF67" s="178"/>
      <c r="CG67" s="178"/>
      <c r="CH67" s="178">
        <f>SUM(CH62:CH66)</f>
        <v>15053666.67</v>
      </c>
      <c r="CI67" s="178"/>
      <c r="CJ67" s="178"/>
      <c r="CK67" s="178">
        <f>SUM(CK62:CK66)</f>
        <v>15969666.67</v>
      </c>
      <c r="CL67" s="178"/>
      <c r="CM67" s="178"/>
      <c r="CN67" s="178">
        <f>SUM(CN62:CN66)</f>
        <v>16946000</v>
      </c>
      <c r="CO67" s="2"/>
      <c r="CP67" s="2"/>
    </row>
    <row r="68" ht="13.5" customHeight="1">
      <c r="A68" s="2"/>
      <c r="B68" s="70">
        <f t="shared" si="1"/>
        <v>61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</row>
    <row r="69" ht="18.0" customHeight="1">
      <c r="A69" s="2"/>
      <c r="B69" s="70">
        <f t="shared" si="1"/>
        <v>62</v>
      </c>
      <c r="C69" s="145" t="s">
        <v>174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</row>
    <row r="70" ht="13.5" customHeight="1">
      <c r="A70" s="2"/>
      <c r="B70" s="70">
        <f t="shared" si="1"/>
        <v>63</v>
      </c>
      <c r="C70" s="2" t="s">
        <v>164</v>
      </c>
      <c r="D70" s="2"/>
      <c r="E70" s="175">
        <f>E43+E45+E54+E62</f>
        <v>10512000</v>
      </c>
      <c r="F70" s="175"/>
      <c r="G70" s="175"/>
      <c r="H70" s="175">
        <f>H43+H45+H54+H62</f>
        <v>10944000</v>
      </c>
      <c r="I70" s="175"/>
      <c r="J70" s="175"/>
      <c r="K70" s="175">
        <f>K43+K45+K54+K62</f>
        <v>11448000</v>
      </c>
      <c r="L70" s="175"/>
      <c r="M70" s="175"/>
      <c r="N70" s="175">
        <f>N43+N45+N54+N62</f>
        <v>12024000</v>
      </c>
      <c r="O70" s="175"/>
      <c r="P70" s="175"/>
      <c r="Q70" s="175">
        <f>Q43+Q45+Q54+Q62</f>
        <v>12600000</v>
      </c>
      <c r="R70" s="175"/>
      <c r="S70" s="175"/>
      <c r="T70" s="175">
        <f>T43+T45+T54+T62</f>
        <v>13104000</v>
      </c>
      <c r="U70" s="175"/>
      <c r="V70" s="175"/>
      <c r="W70" s="175">
        <f>W43+W45+W54+W62</f>
        <v>13680000</v>
      </c>
      <c r="X70" s="175"/>
      <c r="Y70" s="175"/>
      <c r="Z70" s="175">
        <f>Z43+Z45+Z54+Z62</f>
        <v>14328000</v>
      </c>
      <c r="AA70" s="175"/>
      <c r="AB70" s="175"/>
      <c r="AC70" s="175">
        <f>AC43+AC45+AC54+AC62</f>
        <v>14976000</v>
      </c>
      <c r="AD70" s="175"/>
      <c r="AE70" s="175"/>
      <c r="AF70" s="175">
        <f>AF43+AF45+AF54+AF62</f>
        <v>15624000</v>
      </c>
      <c r="AG70" s="175"/>
      <c r="AH70" s="175"/>
      <c r="AI70" s="175">
        <f>AI43+AI45+AI54+AI62</f>
        <v>16416000</v>
      </c>
      <c r="AJ70" s="175"/>
      <c r="AK70" s="175"/>
      <c r="AL70" s="175">
        <f>AL43+AL45+AL54+AL62</f>
        <v>17208000</v>
      </c>
      <c r="AM70" s="175"/>
      <c r="AN70" s="175"/>
      <c r="AO70" s="175">
        <f>AO43+AO45+AO54+AO62</f>
        <v>17928000</v>
      </c>
      <c r="AP70" s="175"/>
      <c r="AQ70" s="175"/>
      <c r="AR70" s="175">
        <f>AR43+AR45+AR54+AR62</f>
        <v>18720000</v>
      </c>
      <c r="AS70" s="175"/>
      <c r="AT70" s="175"/>
      <c r="AU70" s="175">
        <f>AU43+AU45+AU54+AU62</f>
        <v>19584000</v>
      </c>
      <c r="AV70" s="175"/>
      <c r="AW70" s="175"/>
      <c r="AX70" s="175">
        <f>AX43+AX45+AX54+AX62</f>
        <v>20448000</v>
      </c>
      <c r="AY70" s="175"/>
      <c r="AZ70" s="175"/>
      <c r="BA70" s="175">
        <f>BA43+BA45+BA54+BA62</f>
        <v>21384000</v>
      </c>
      <c r="BB70" s="175"/>
      <c r="BC70" s="175"/>
      <c r="BD70" s="175">
        <f>BD43+BD45+BD54+BD62</f>
        <v>22392000</v>
      </c>
      <c r="BE70" s="175"/>
      <c r="BF70" s="175"/>
      <c r="BG70" s="175">
        <f>BG43+BG45+BG54+BG62</f>
        <v>23472000</v>
      </c>
      <c r="BH70" s="175"/>
      <c r="BI70" s="175"/>
      <c r="BJ70" s="175">
        <f>BJ43+BJ45+BJ54+BJ62</f>
        <v>24552000</v>
      </c>
      <c r="BK70" s="175"/>
      <c r="BL70" s="175"/>
      <c r="BM70" s="175">
        <f>BM43+BM45+BM54+BM62</f>
        <v>25704000</v>
      </c>
      <c r="BN70" s="175"/>
      <c r="BO70" s="175"/>
      <c r="BP70" s="175">
        <f>BP43+BP45+BP54+BP62</f>
        <v>27000000</v>
      </c>
      <c r="BQ70" s="175"/>
      <c r="BR70" s="175"/>
      <c r="BS70" s="175">
        <f>BS43+BS45+BS54+BS62</f>
        <v>28224000</v>
      </c>
      <c r="BT70" s="175"/>
      <c r="BU70" s="175"/>
      <c r="BV70" s="175">
        <f>BV43+BV45+BV54+BV62</f>
        <v>29592000</v>
      </c>
      <c r="BW70" s="175"/>
      <c r="BX70" s="175"/>
      <c r="BY70" s="175">
        <f>BY43+BY45+BY54+BY62</f>
        <v>31032000</v>
      </c>
      <c r="BZ70" s="175"/>
      <c r="CA70" s="175"/>
      <c r="CB70" s="175">
        <f>CB43+CB45+CB54+CB62</f>
        <v>32472000</v>
      </c>
      <c r="CC70" s="175"/>
      <c r="CD70" s="175"/>
      <c r="CE70" s="175">
        <f>CE43+CE45+CE54+CE62</f>
        <v>33984000</v>
      </c>
      <c r="CF70" s="175"/>
      <c r="CG70" s="175"/>
      <c r="CH70" s="175">
        <f>CH43+CH45+CH54+CH62</f>
        <v>35640000</v>
      </c>
      <c r="CI70" s="175"/>
      <c r="CJ70" s="175"/>
      <c r="CK70" s="175">
        <f>CK43+CK45+CK54+CK62</f>
        <v>37296000</v>
      </c>
      <c r="CL70" s="175"/>
      <c r="CM70" s="175"/>
      <c r="CN70" s="175">
        <f>CN43+CN45+CN54+CN62</f>
        <v>39096000</v>
      </c>
      <c r="CO70" s="2"/>
      <c r="CP70" s="2"/>
    </row>
    <row r="71" ht="13.5" customHeight="1">
      <c r="A71" s="2"/>
      <c r="B71" s="70">
        <f t="shared" si="1"/>
        <v>64</v>
      </c>
      <c r="C71" s="2" t="s">
        <v>175</v>
      </c>
      <c r="D71" s="2"/>
      <c r="E71" s="175">
        <f t="shared" ref="E71:E74" si="6">E46+E55+E63</f>
        <v>-2820000</v>
      </c>
      <c r="F71" s="175"/>
      <c r="G71" s="175"/>
      <c r="H71" s="175">
        <f t="shared" ref="H71:H74" si="7">H46+H55+H63</f>
        <v>-2964000</v>
      </c>
      <c r="I71" s="175"/>
      <c r="J71" s="175"/>
      <c r="K71" s="175">
        <f t="shared" ref="K71:K74" si="8">K46+K55+K63</f>
        <v>-3816000</v>
      </c>
      <c r="L71" s="175"/>
      <c r="M71" s="175"/>
      <c r="N71" s="175">
        <f t="shared" ref="N71:N74" si="9">N46+N55+N63</f>
        <v>-4008000</v>
      </c>
      <c r="O71" s="175"/>
      <c r="P71" s="175"/>
      <c r="Q71" s="175">
        <f t="shared" ref="Q71:Q74" si="10">Q46+Q55+Q63</f>
        <v>-4200000</v>
      </c>
      <c r="R71" s="175"/>
      <c r="S71" s="175"/>
      <c r="T71" s="175">
        <f t="shared" ref="T71:T74" si="11">T46+T55+T63</f>
        <v>-4368000</v>
      </c>
      <c r="U71" s="175"/>
      <c r="V71" s="175"/>
      <c r="W71" s="175">
        <f t="shared" ref="W71:W74" si="12">W46+W55+W63</f>
        <v>-4560000</v>
      </c>
      <c r="X71" s="175"/>
      <c r="Y71" s="175"/>
      <c r="Z71" s="175">
        <f t="shared" ref="Z71:Z74" si="13">Z46+Z55+Z63</f>
        <v>-4776000</v>
      </c>
      <c r="AA71" s="175"/>
      <c r="AB71" s="175"/>
      <c r="AC71" s="175">
        <f t="shared" ref="AC71:AC74" si="14">AC46+AC55+AC63</f>
        <v>-4992000</v>
      </c>
      <c r="AD71" s="175"/>
      <c r="AE71" s="175"/>
      <c r="AF71" s="175">
        <f t="shared" ref="AF71:AF74" si="15">AF46+AF55+AF63</f>
        <v>-5208000</v>
      </c>
      <c r="AG71" s="175"/>
      <c r="AH71" s="175"/>
      <c r="AI71" s="175">
        <f t="shared" ref="AI71:AI74" si="16">AI46+AI55+AI63</f>
        <v>-5472000</v>
      </c>
      <c r="AJ71" s="175"/>
      <c r="AK71" s="175"/>
      <c r="AL71" s="175">
        <f t="shared" ref="AL71:AL74" si="17">AL46+AL55+AL63</f>
        <v>-5736000</v>
      </c>
      <c r="AM71" s="175"/>
      <c r="AN71" s="175"/>
      <c r="AO71" s="175">
        <f t="shared" ref="AO71:AO74" si="18">AO46+AO55+AO63</f>
        <v>-5976000</v>
      </c>
      <c r="AP71" s="175"/>
      <c r="AQ71" s="175"/>
      <c r="AR71" s="175">
        <f t="shared" ref="AR71:AR74" si="19">AR46+AR55+AR63</f>
        <v>-6240000</v>
      </c>
      <c r="AS71" s="175"/>
      <c r="AT71" s="175"/>
      <c r="AU71" s="175">
        <f t="shared" ref="AU71:AU74" si="20">AU46+AU55+AU63</f>
        <v>-6528000</v>
      </c>
      <c r="AV71" s="175"/>
      <c r="AW71" s="175"/>
      <c r="AX71" s="175">
        <f t="shared" ref="AX71:AX74" si="21">AX46+AX55+AX63</f>
        <v>-6816000</v>
      </c>
      <c r="AY71" s="175"/>
      <c r="AZ71" s="175"/>
      <c r="BA71" s="175">
        <f t="shared" ref="BA71:BA74" si="22">BA46+BA55+BA63</f>
        <v>-7128000</v>
      </c>
      <c r="BB71" s="175"/>
      <c r="BC71" s="175"/>
      <c r="BD71" s="175">
        <f t="shared" ref="BD71:BD74" si="23">BD46+BD55+BD63</f>
        <v>-7464000</v>
      </c>
      <c r="BE71" s="175"/>
      <c r="BF71" s="175"/>
      <c r="BG71" s="175">
        <f t="shared" ref="BG71:BG74" si="24">BG46+BG55+BG63</f>
        <v>-7824000</v>
      </c>
      <c r="BH71" s="175"/>
      <c r="BI71" s="175"/>
      <c r="BJ71" s="175">
        <f t="shared" ref="BJ71:BJ74" si="25">BJ46+BJ55+BJ63</f>
        <v>-8184000</v>
      </c>
      <c r="BK71" s="175"/>
      <c r="BL71" s="175"/>
      <c r="BM71" s="175">
        <f t="shared" ref="BM71:BM74" si="26">BM46+BM55+BM63</f>
        <v>-8568000</v>
      </c>
      <c r="BN71" s="175"/>
      <c r="BO71" s="175"/>
      <c r="BP71" s="175">
        <f t="shared" ref="BP71:BP74" si="27">BP46+BP55+BP63</f>
        <v>-9000000</v>
      </c>
      <c r="BQ71" s="175"/>
      <c r="BR71" s="175"/>
      <c r="BS71" s="175">
        <f t="shared" ref="BS71:BS74" si="28">BS46+BS55+BS63</f>
        <v>-9408000</v>
      </c>
      <c r="BT71" s="175"/>
      <c r="BU71" s="175"/>
      <c r="BV71" s="175">
        <f t="shared" ref="BV71:BV74" si="29">BV46+BV55+BV63</f>
        <v>-9864000</v>
      </c>
      <c r="BW71" s="175"/>
      <c r="BX71" s="175"/>
      <c r="BY71" s="175">
        <f t="shared" ref="BY71:BY74" si="30">BY46+BY55+BY63</f>
        <v>-10344000</v>
      </c>
      <c r="BZ71" s="175"/>
      <c r="CA71" s="175"/>
      <c r="CB71" s="175">
        <f t="shared" ref="CB71:CB74" si="31">CB46+CB55+CB63</f>
        <v>-10824000</v>
      </c>
      <c r="CC71" s="175"/>
      <c r="CD71" s="175"/>
      <c r="CE71" s="175">
        <f t="shared" ref="CE71:CE74" si="32">CE46+CE55+CE63</f>
        <v>-11328000</v>
      </c>
      <c r="CF71" s="175"/>
      <c r="CG71" s="175"/>
      <c r="CH71" s="175">
        <f t="shared" ref="CH71:CH74" si="33">CH46+CH55+CH63</f>
        <v>-11880000</v>
      </c>
      <c r="CI71" s="175"/>
      <c r="CJ71" s="175"/>
      <c r="CK71" s="175">
        <f t="shared" ref="CK71:CK74" si="34">CK46+CK55+CK63</f>
        <v>-12432000</v>
      </c>
      <c r="CL71" s="175"/>
      <c r="CM71" s="175"/>
      <c r="CN71" s="175">
        <f t="shared" ref="CN71:CN74" si="35">CN46+CN55+CN63</f>
        <v>-13032000</v>
      </c>
      <c r="CO71" s="2"/>
      <c r="CP71" s="2"/>
    </row>
    <row r="72" ht="13.5" customHeight="1">
      <c r="A72" s="2"/>
      <c r="B72" s="70">
        <f t="shared" si="1"/>
        <v>65</v>
      </c>
      <c r="C72" s="2" t="s">
        <v>166</v>
      </c>
      <c r="D72" s="2"/>
      <c r="E72" s="175">
        <f t="shared" si="6"/>
        <v>1306250</v>
      </c>
      <c r="F72" s="175"/>
      <c r="G72" s="175"/>
      <c r="H72" s="175">
        <f t="shared" si="7"/>
        <v>1425000</v>
      </c>
      <c r="I72" s="175"/>
      <c r="J72" s="175"/>
      <c r="K72" s="175">
        <f t="shared" si="8"/>
        <v>1487500</v>
      </c>
      <c r="L72" s="175"/>
      <c r="M72" s="175"/>
      <c r="N72" s="175">
        <f t="shared" si="9"/>
        <v>1562500</v>
      </c>
      <c r="O72" s="175"/>
      <c r="P72" s="175"/>
      <c r="Q72" s="175">
        <f t="shared" si="10"/>
        <v>1637500</v>
      </c>
      <c r="R72" s="175"/>
      <c r="S72" s="175"/>
      <c r="T72" s="175">
        <f t="shared" si="11"/>
        <v>1712500</v>
      </c>
      <c r="U72" s="175"/>
      <c r="V72" s="175"/>
      <c r="W72" s="175">
        <f t="shared" si="12"/>
        <v>1787500</v>
      </c>
      <c r="X72" s="175"/>
      <c r="Y72" s="175"/>
      <c r="Z72" s="175">
        <f t="shared" si="13"/>
        <v>1862500</v>
      </c>
      <c r="AA72" s="175"/>
      <c r="AB72" s="175"/>
      <c r="AC72" s="175">
        <f t="shared" si="14"/>
        <v>1950000</v>
      </c>
      <c r="AD72" s="175"/>
      <c r="AE72" s="175"/>
      <c r="AF72" s="175">
        <f t="shared" si="15"/>
        <v>2037500</v>
      </c>
      <c r="AG72" s="175"/>
      <c r="AH72" s="175"/>
      <c r="AI72" s="175">
        <f t="shared" si="16"/>
        <v>2137500</v>
      </c>
      <c r="AJ72" s="175"/>
      <c r="AK72" s="175"/>
      <c r="AL72" s="175">
        <f t="shared" si="17"/>
        <v>2237500</v>
      </c>
      <c r="AM72" s="175"/>
      <c r="AN72" s="175"/>
      <c r="AO72" s="175">
        <f t="shared" si="18"/>
        <v>2337500</v>
      </c>
      <c r="AP72" s="175"/>
      <c r="AQ72" s="175"/>
      <c r="AR72" s="175">
        <f t="shared" si="19"/>
        <v>2437500</v>
      </c>
      <c r="AS72" s="175"/>
      <c r="AT72" s="175"/>
      <c r="AU72" s="175">
        <f t="shared" si="20"/>
        <v>2550000</v>
      </c>
      <c r="AV72" s="175"/>
      <c r="AW72" s="175"/>
      <c r="AX72" s="175">
        <f t="shared" si="21"/>
        <v>2662500</v>
      </c>
      <c r="AY72" s="175"/>
      <c r="AZ72" s="175"/>
      <c r="BA72" s="175">
        <f t="shared" si="22"/>
        <v>2787500</v>
      </c>
      <c r="BB72" s="175"/>
      <c r="BC72" s="175"/>
      <c r="BD72" s="175">
        <f t="shared" si="23"/>
        <v>2912500</v>
      </c>
      <c r="BE72" s="175"/>
      <c r="BF72" s="175"/>
      <c r="BG72" s="175">
        <f t="shared" si="24"/>
        <v>3062500</v>
      </c>
      <c r="BH72" s="175"/>
      <c r="BI72" s="175"/>
      <c r="BJ72" s="175">
        <f t="shared" si="25"/>
        <v>3200000</v>
      </c>
      <c r="BK72" s="175"/>
      <c r="BL72" s="175"/>
      <c r="BM72" s="175">
        <f t="shared" si="26"/>
        <v>3350000</v>
      </c>
      <c r="BN72" s="175"/>
      <c r="BO72" s="175"/>
      <c r="BP72" s="175">
        <f t="shared" si="27"/>
        <v>3512500</v>
      </c>
      <c r="BQ72" s="175"/>
      <c r="BR72" s="175"/>
      <c r="BS72" s="175">
        <f t="shared" si="28"/>
        <v>3675000</v>
      </c>
      <c r="BT72" s="175"/>
      <c r="BU72" s="175"/>
      <c r="BV72" s="175">
        <f t="shared" si="29"/>
        <v>3850000</v>
      </c>
      <c r="BW72" s="175"/>
      <c r="BX72" s="175"/>
      <c r="BY72" s="175">
        <f t="shared" si="30"/>
        <v>4037500</v>
      </c>
      <c r="BZ72" s="175"/>
      <c r="CA72" s="175"/>
      <c r="CB72" s="175">
        <f t="shared" si="31"/>
        <v>4225000</v>
      </c>
      <c r="CC72" s="175"/>
      <c r="CD72" s="175"/>
      <c r="CE72" s="175">
        <f t="shared" si="32"/>
        <v>4425000</v>
      </c>
      <c r="CF72" s="175"/>
      <c r="CG72" s="175"/>
      <c r="CH72" s="175">
        <f t="shared" si="33"/>
        <v>4637500</v>
      </c>
      <c r="CI72" s="175"/>
      <c r="CJ72" s="175"/>
      <c r="CK72" s="175">
        <f t="shared" si="34"/>
        <v>4862500</v>
      </c>
      <c r="CL72" s="175"/>
      <c r="CM72" s="175"/>
      <c r="CN72" s="175">
        <f t="shared" si="35"/>
        <v>5087500</v>
      </c>
      <c r="CO72" s="2"/>
      <c r="CP72" s="2"/>
    </row>
    <row r="73" ht="13.5" customHeight="1">
      <c r="A73" s="2"/>
      <c r="B73" s="70">
        <f t="shared" si="1"/>
        <v>66</v>
      </c>
      <c r="C73" s="2" t="s">
        <v>175</v>
      </c>
      <c r="D73" s="2"/>
      <c r="E73" s="175">
        <f t="shared" si="6"/>
        <v>-435416.6667</v>
      </c>
      <c r="F73" s="175"/>
      <c r="G73" s="175"/>
      <c r="H73" s="175">
        <f t="shared" si="7"/>
        <v>-475000</v>
      </c>
      <c r="I73" s="175"/>
      <c r="J73" s="175"/>
      <c r="K73" s="175">
        <f t="shared" si="8"/>
        <v>-495833.3333</v>
      </c>
      <c r="L73" s="175"/>
      <c r="M73" s="175"/>
      <c r="N73" s="175">
        <f t="shared" si="9"/>
        <v>-520833.3333</v>
      </c>
      <c r="O73" s="175"/>
      <c r="P73" s="175"/>
      <c r="Q73" s="175">
        <f t="shared" si="10"/>
        <v>-545833.3333</v>
      </c>
      <c r="R73" s="175"/>
      <c r="S73" s="175"/>
      <c r="T73" s="175">
        <f t="shared" si="11"/>
        <v>-570833.3333</v>
      </c>
      <c r="U73" s="175"/>
      <c r="V73" s="175"/>
      <c r="W73" s="175">
        <f t="shared" si="12"/>
        <v>-595833.3333</v>
      </c>
      <c r="X73" s="175"/>
      <c r="Y73" s="175"/>
      <c r="Z73" s="175">
        <f t="shared" si="13"/>
        <v>-620833.3333</v>
      </c>
      <c r="AA73" s="175"/>
      <c r="AB73" s="175"/>
      <c r="AC73" s="175">
        <f t="shared" si="14"/>
        <v>-650000</v>
      </c>
      <c r="AD73" s="175"/>
      <c r="AE73" s="175"/>
      <c r="AF73" s="175">
        <f t="shared" si="15"/>
        <v>-679166.6667</v>
      </c>
      <c r="AG73" s="175"/>
      <c r="AH73" s="175"/>
      <c r="AI73" s="175">
        <f t="shared" si="16"/>
        <v>-712500</v>
      </c>
      <c r="AJ73" s="175"/>
      <c r="AK73" s="175"/>
      <c r="AL73" s="175">
        <f t="shared" si="17"/>
        <v>-745833.3333</v>
      </c>
      <c r="AM73" s="175"/>
      <c r="AN73" s="175"/>
      <c r="AO73" s="175">
        <f t="shared" si="18"/>
        <v>-779166.6667</v>
      </c>
      <c r="AP73" s="175"/>
      <c r="AQ73" s="175"/>
      <c r="AR73" s="175">
        <f t="shared" si="19"/>
        <v>-812500</v>
      </c>
      <c r="AS73" s="175"/>
      <c r="AT73" s="175"/>
      <c r="AU73" s="175">
        <f t="shared" si="20"/>
        <v>-850000</v>
      </c>
      <c r="AV73" s="175"/>
      <c r="AW73" s="175"/>
      <c r="AX73" s="175">
        <f t="shared" si="21"/>
        <v>-887500</v>
      </c>
      <c r="AY73" s="175"/>
      <c r="AZ73" s="175"/>
      <c r="BA73" s="175">
        <f t="shared" si="22"/>
        <v>-929166.6667</v>
      </c>
      <c r="BB73" s="175"/>
      <c r="BC73" s="175"/>
      <c r="BD73" s="175">
        <f t="shared" si="23"/>
        <v>-970833.3333</v>
      </c>
      <c r="BE73" s="175"/>
      <c r="BF73" s="175"/>
      <c r="BG73" s="175">
        <f t="shared" si="24"/>
        <v>-1020833.333</v>
      </c>
      <c r="BH73" s="175"/>
      <c r="BI73" s="175"/>
      <c r="BJ73" s="175">
        <f t="shared" si="25"/>
        <v>-1066666.667</v>
      </c>
      <c r="BK73" s="175"/>
      <c r="BL73" s="175"/>
      <c r="BM73" s="175">
        <f t="shared" si="26"/>
        <v>-1116666.667</v>
      </c>
      <c r="BN73" s="175"/>
      <c r="BO73" s="175"/>
      <c r="BP73" s="175">
        <f t="shared" si="27"/>
        <v>-1170833.333</v>
      </c>
      <c r="BQ73" s="175"/>
      <c r="BR73" s="175"/>
      <c r="BS73" s="175">
        <f t="shared" si="28"/>
        <v>-1225000</v>
      </c>
      <c r="BT73" s="175"/>
      <c r="BU73" s="175"/>
      <c r="BV73" s="175">
        <f t="shared" si="29"/>
        <v>-1283333.333</v>
      </c>
      <c r="BW73" s="175"/>
      <c r="BX73" s="175"/>
      <c r="BY73" s="175">
        <f t="shared" si="30"/>
        <v>-1345833.333</v>
      </c>
      <c r="BZ73" s="175"/>
      <c r="CA73" s="175"/>
      <c r="CB73" s="175">
        <f t="shared" si="31"/>
        <v>-1408333.333</v>
      </c>
      <c r="CC73" s="175"/>
      <c r="CD73" s="175"/>
      <c r="CE73" s="175">
        <f t="shared" si="32"/>
        <v>-1475000</v>
      </c>
      <c r="CF73" s="175"/>
      <c r="CG73" s="175"/>
      <c r="CH73" s="175">
        <f t="shared" si="33"/>
        <v>-1545833.333</v>
      </c>
      <c r="CI73" s="175"/>
      <c r="CJ73" s="175"/>
      <c r="CK73" s="175">
        <f t="shared" si="34"/>
        <v>-1620833.333</v>
      </c>
      <c r="CL73" s="175"/>
      <c r="CM73" s="175"/>
      <c r="CN73" s="175">
        <f t="shared" si="35"/>
        <v>-1695833.333</v>
      </c>
      <c r="CO73" s="2"/>
      <c r="CP73" s="2"/>
    </row>
    <row r="74" ht="13.5" customHeight="1">
      <c r="A74" s="2"/>
      <c r="B74" s="70">
        <f t="shared" si="1"/>
        <v>67</v>
      </c>
      <c r="C74" s="2" t="s">
        <v>167</v>
      </c>
      <c r="D74" s="2"/>
      <c r="E74" s="175">
        <f t="shared" si="6"/>
        <v>418000</v>
      </c>
      <c r="F74" s="175"/>
      <c r="G74" s="175"/>
      <c r="H74" s="175">
        <f t="shared" si="7"/>
        <v>456000</v>
      </c>
      <c r="I74" s="175"/>
      <c r="J74" s="175"/>
      <c r="K74" s="175">
        <f t="shared" si="8"/>
        <v>576000</v>
      </c>
      <c r="L74" s="175"/>
      <c r="M74" s="175"/>
      <c r="N74" s="175">
        <f t="shared" si="9"/>
        <v>604000</v>
      </c>
      <c r="O74" s="175"/>
      <c r="P74" s="175"/>
      <c r="Q74" s="175">
        <f t="shared" si="10"/>
        <v>632000</v>
      </c>
      <c r="R74" s="175"/>
      <c r="S74" s="175"/>
      <c r="T74" s="175">
        <f t="shared" si="11"/>
        <v>656000</v>
      </c>
      <c r="U74" s="175"/>
      <c r="V74" s="175"/>
      <c r="W74" s="175">
        <f t="shared" si="12"/>
        <v>684000</v>
      </c>
      <c r="X74" s="175"/>
      <c r="Y74" s="175"/>
      <c r="Z74" s="175">
        <f t="shared" si="13"/>
        <v>716000</v>
      </c>
      <c r="AA74" s="175"/>
      <c r="AB74" s="175"/>
      <c r="AC74" s="175">
        <f t="shared" si="14"/>
        <v>748000</v>
      </c>
      <c r="AD74" s="175"/>
      <c r="AE74" s="175"/>
      <c r="AF74" s="175">
        <f t="shared" si="15"/>
        <v>776000</v>
      </c>
      <c r="AG74" s="175"/>
      <c r="AH74" s="175"/>
      <c r="AI74" s="175">
        <f t="shared" si="16"/>
        <v>816000</v>
      </c>
      <c r="AJ74" s="175"/>
      <c r="AK74" s="175"/>
      <c r="AL74" s="175">
        <f t="shared" si="17"/>
        <v>852000</v>
      </c>
      <c r="AM74" s="175"/>
      <c r="AN74" s="175"/>
      <c r="AO74" s="175">
        <f t="shared" si="18"/>
        <v>888000</v>
      </c>
      <c r="AP74" s="175"/>
      <c r="AQ74" s="175"/>
      <c r="AR74" s="175">
        <f t="shared" si="19"/>
        <v>924000</v>
      </c>
      <c r="AS74" s="175"/>
      <c r="AT74" s="175"/>
      <c r="AU74" s="175">
        <f t="shared" si="20"/>
        <v>964000</v>
      </c>
      <c r="AV74" s="175"/>
      <c r="AW74" s="175"/>
      <c r="AX74" s="175">
        <f t="shared" si="21"/>
        <v>1008000</v>
      </c>
      <c r="AY74" s="175"/>
      <c r="AZ74" s="175"/>
      <c r="BA74" s="175">
        <f t="shared" si="22"/>
        <v>1052000</v>
      </c>
      <c r="BB74" s="175"/>
      <c r="BC74" s="175"/>
      <c r="BD74" s="175">
        <f t="shared" si="23"/>
        <v>1100000</v>
      </c>
      <c r="BE74" s="175"/>
      <c r="BF74" s="175"/>
      <c r="BG74" s="175">
        <f t="shared" si="24"/>
        <v>1148000</v>
      </c>
      <c r="BH74" s="175"/>
      <c r="BI74" s="175"/>
      <c r="BJ74" s="175">
        <f t="shared" si="25"/>
        <v>1200000</v>
      </c>
      <c r="BK74" s="175"/>
      <c r="BL74" s="175"/>
      <c r="BM74" s="175">
        <f t="shared" si="26"/>
        <v>1256000</v>
      </c>
      <c r="BN74" s="175"/>
      <c r="BO74" s="175"/>
      <c r="BP74" s="175">
        <f t="shared" si="27"/>
        <v>1316000</v>
      </c>
      <c r="BQ74" s="175"/>
      <c r="BR74" s="175"/>
      <c r="BS74" s="175">
        <f t="shared" si="28"/>
        <v>1372000</v>
      </c>
      <c r="BT74" s="175"/>
      <c r="BU74" s="175"/>
      <c r="BV74" s="175">
        <f t="shared" si="29"/>
        <v>1436000</v>
      </c>
      <c r="BW74" s="175"/>
      <c r="BX74" s="175"/>
      <c r="BY74" s="175">
        <f t="shared" si="30"/>
        <v>1504000</v>
      </c>
      <c r="BZ74" s="175"/>
      <c r="CA74" s="175"/>
      <c r="CB74" s="175">
        <f t="shared" si="31"/>
        <v>1572000</v>
      </c>
      <c r="CC74" s="175"/>
      <c r="CD74" s="175"/>
      <c r="CE74" s="175">
        <f t="shared" si="32"/>
        <v>1640000</v>
      </c>
      <c r="CF74" s="175"/>
      <c r="CG74" s="175"/>
      <c r="CH74" s="175">
        <f t="shared" si="33"/>
        <v>1716000</v>
      </c>
      <c r="CI74" s="175"/>
      <c r="CJ74" s="175"/>
      <c r="CK74" s="175">
        <f t="shared" si="34"/>
        <v>1792000</v>
      </c>
      <c r="CL74" s="175"/>
      <c r="CM74" s="175"/>
      <c r="CN74" s="175">
        <f t="shared" si="35"/>
        <v>1876000</v>
      </c>
      <c r="CO74" s="2"/>
      <c r="CP74" s="2"/>
    </row>
    <row r="75" ht="18.75" customHeight="1">
      <c r="A75" s="2"/>
      <c r="B75" s="70">
        <f t="shared" si="1"/>
        <v>68</v>
      </c>
      <c r="C75" s="180" t="s">
        <v>176</v>
      </c>
      <c r="D75" s="180"/>
      <c r="E75" s="181">
        <f>SUM(E70:E74)</f>
        <v>8980833.333</v>
      </c>
      <c r="F75" s="181"/>
      <c r="G75" s="181"/>
      <c r="H75" s="181">
        <f>SUM(H70:H74)</f>
        <v>9386000</v>
      </c>
      <c r="I75" s="181"/>
      <c r="J75" s="181"/>
      <c r="K75" s="181">
        <f>SUM(K70:K74)</f>
        <v>9199666.667</v>
      </c>
      <c r="L75" s="181"/>
      <c r="M75" s="181"/>
      <c r="N75" s="181">
        <f>SUM(N70:N74)</f>
        <v>9661666.667</v>
      </c>
      <c r="O75" s="181"/>
      <c r="P75" s="181"/>
      <c r="Q75" s="181">
        <f>SUM(Q70:Q74)</f>
        <v>10123666.67</v>
      </c>
      <c r="R75" s="181"/>
      <c r="S75" s="181"/>
      <c r="T75" s="181">
        <f>SUM(T70:T74)</f>
        <v>10533666.67</v>
      </c>
      <c r="U75" s="181"/>
      <c r="V75" s="181"/>
      <c r="W75" s="181">
        <f>SUM(W70:W74)</f>
        <v>10995666.67</v>
      </c>
      <c r="X75" s="181"/>
      <c r="Y75" s="181"/>
      <c r="Z75" s="181">
        <f>SUM(Z70:Z74)</f>
        <v>11509666.67</v>
      </c>
      <c r="AA75" s="181"/>
      <c r="AB75" s="181"/>
      <c r="AC75" s="181">
        <f>SUM(AC70:AC74)</f>
        <v>12032000</v>
      </c>
      <c r="AD75" s="181"/>
      <c r="AE75" s="181"/>
      <c r="AF75" s="181">
        <f>SUM(AF70:AF74)</f>
        <v>12550333.33</v>
      </c>
      <c r="AG75" s="181"/>
      <c r="AH75" s="181"/>
      <c r="AI75" s="181">
        <f>SUM(AI70:AI74)</f>
        <v>13185000</v>
      </c>
      <c r="AJ75" s="181"/>
      <c r="AK75" s="181"/>
      <c r="AL75" s="181">
        <f>SUM(AL70:AL74)</f>
        <v>13815666.67</v>
      </c>
      <c r="AM75" s="181"/>
      <c r="AN75" s="181"/>
      <c r="AO75" s="181">
        <f>SUM(AO70:AO74)</f>
        <v>14398333.33</v>
      </c>
      <c r="AP75" s="181"/>
      <c r="AQ75" s="181"/>
      <c r="AR75" s="181">
        <f>SUM(AR70:AR74)</f>
        <v>15029000</v>
      </c>
      <c r="AS75" s="181"/>
      <c r="AT75" s="181"/>
      <c r="AU75" s="181">
        <f>SUM(AU70:AU74)</f>
        <v>15720000</v>
      </c>
      <c r="AV75" s="181"/>
      <c r="AW75" s="181"/>
      <c r="AX75" s="181">
        <f>SUM(AX70:AX74)</f>
        <v>16415000</v>
      </c>
      <c r="AY75" s="181"/>
      <c r="AZ75" s="181"/>
      <c r="BA75" s="181">
        <f>SUM(BA70:BA74)</f>
        <v>17166333.33</v>
      </c>
      <c r="BB75" s="181"/>
      <c r="BC75" s="181"/>
      <c r="BD75" s="181">
        <f>SUM(BD70:BD74)</f>
        <v>17969666.67</v>
      </c>
      <c r="BE75" s="181"/>
      <c r="BF75" s="181"/>
      <c r="BG75" s="181">
        <f>SUM(BG70:BG74)</f>
        <v>18837666.67</v>
      </c>
      <c r="BH75" s="181"/>
      <c r="BI75" s="181"/>
      <c r="BJ75" s="181">
        <f>SUM(BJ70:BJ74)</f>
        <v>19701333.33</v>
      </c>
      <c r="BK75" s="181"/>
      <c r="BL75" s="181"/>
      <c r="BM75" s="181">
        <f>SUM(BM70:BM74)</f>
        <v>20625333.33</v>
      </c>
      <c r="BN75" s="181"/>
      <c r="BO75" s="181"/>
      <c r="BP75" s="181">
        <f>SUM(BP70:BP74)</f>
        <v>21657666.67</v>
      </c>
      <c r="BQ75" s="181"/>
      <c r="BR75" s="181"/>
      <c r="BS75" s="181">
        <f>SUM(BS70:BS74)</f>
        <v>22638000</v>
      </c>
      <c r="BT75" s="181"/>
      <c r="BU75" s="181"/>
      <c r="BV75" s="181">
        <f>SUM(BV70:BV74)</f>
        <v>23730666.67</v>
      </c>
      <c r="BW75" s="181"/>
      <c r="BX75" s="181"/>
      <c r="BY75" s="181">
        <f>SUM(BY70:BY74)</f>
        <v>24883666.67</v>
      </c>
      <c r="BZ75" s="181"/>
      <c r="CA75" s="181"/>
      <c r="CB75" s="181">
        <f>SUM(CB70:CB74)</f>
        <v>26036666.67</v>
      </c>
      <c r="CC75" s="181"/>
      <c r="CD75" s="181"/>
      <c r="CE75" s="181">
        <f>SUM(CE70:CE74)</f>
        <v>27246000</v>
      </c>
      <c r="CF75" s="181"/>
      <c r="CG75" s="181"/>
      <c r="CH75" s="181">
        <f>SUM(CH70:CH74)</f>
        <v>28567666.67</v>
      </c>
      <c r="CI75" s="181"/>
      <c r="CJ75" s="181"/>
      <c r="CK75" s="181">
        <f>SUM(CK70:CK74)</f>
        <v>29897666.67</v>
      </c>
      <c r="CL75" s="181"/>
      <c r="CM75" s="181"/>
      <c r="CN75" s="181">
        <f>SUM(CN70:CN74)</f>
        <v>31331666.67</v>
      </c>
      <c r="CO75" s="2"/>
      <c r="CP75" s="2"/>
    </row>
    <row r="76" ht="13.5" customHeight="1">
      <c r="A76" s="2"/>
      <c r="B76" s="70">
        <f t="shared" si="1"/>
        <v>69</v>
      </c>
      <c r="C76" s="2" t="s">
        <v>177</v>
      </c>
      <c r="D76" s="2"/>
      <c r="E76" s="175">
        <f>E51+E59+E67</f>
        <v>8980833.333</v>
      </c>
      <c r="F76" s="175"/>
      <c r="G76" s="175"/>
      <c r="H76" s="175">
        <f>H51+H59+H67</f>
        <v>9386000</v>
      </c>
      <c r="I76" s="175"/>
      <c r="J76" s="175"/>
      <c r="K76" s="175">
        <f>K51+K59+K67</f>
        <v>9199666.667</v>
      </c>
      <c r="L76" s="175"/>
      <c r="M76" s="175"/>
      <c r="N76" s="175">
        <f>N51+N59+N67</f>
        <v>9661666.667</v>
      </c>
      <c r="O76" s="175"/>
      <c r="P76" s="175"/>
      <c r="Q76" s="175">
        <f>Q51+Q59+Q67</f>
        <v>10123666.67</v>
      </c>
      <c r="R76" s="175"/>
      <c r="S76" s="175"/>
      <c r="T76" s="175">
        <f>T51+T59+T67</f>
        <v>10533666.67</v>
      </c>
      <c r="U76" s="175"/>
      <c r="V76" s="175"/>
      <c r="W76" s="175">
        <f>W51+W59+W67</f>
        <v>10995666.67</v>
      </c>
      <c r="X76" s="175"/>
      <c r="Y76" s="175"/>
      <c r="Z76" s="175">
        <f>Z51+Z59+Z67</f>
        <v>11509666.67</v>
      </c>
      <c r="AA76" s="175"/>
      <c r="AB76" s="175"/>
      <c r="AC76" s="175">
        <f>AC51+AC59+AC67</f>
        <v>12032000</v>
      </c>
      <c r="AD76" s="175"/>
      <c r="AE76" s="175"/>
      <c r="AF76" s="175">
        <f>AF51+AF59+AF67</f>
        <v>12550333.33</v>
      </c>
      <c r="AG76" s="175"/>
      <c r="AH76" s="175"/>
      <c r="AI76" s="175">
        <f>AI51+AI59+AI67</f>
        <v>13185000</v>
      </c>
      <c r="AJ76" s="175"/>
      <c r="AK76" s="175"/>
      <c r="AL76" s="175">
        <f>AL51+AL59+AL67</f>
        <v>13815666.67</v>
      </c>
      <c r="AM76" s="175"/>
      <c r="AN76" s="175"/>
      <c r="AO76" s="175">
        <f>AO51+AO59+AO67</f>
        <v>14398333.33</v>
      </c>
      <c r="AP76" s="175"/>
      <c r="AQ76" s="175"/>
      <c r="AR76" s="175">
        <f>AR51+AR59+AR67</f>
        <v>15029000</v>
      </c>
      <c r="AS76" s="175"/>
      <c r="AT76" s="175"/>
      <c r="AU76" s="175">
        <f>AU51+AU59+AU67</f>
        <v>15720000</v>
      </c>
      <c r="AV76" s="175"/>
      <c r="AW76" s="175"/>
      <c r="AX76" s="175">
        <f>AX51+AX59+AX67</f>
        <v>16415000</v>
      </c>
      <c r="AY76" s="175"/>
      <c r="AZ76" s="175"/>
      <c r="BA76" s="175">
        <f>BA51+BA59+BA67</f>
        <v>17166333.33</v>
      </c>
      <c r="BB76" s="175"/>
      <c r="BC76" s="175"/>
      <c r="BD76" s="175">
        <f>BD51+BD59+BD67</f>
        <v>17969666.67</v>
      </c>
      <c r="BE76" s="175"/>
      <c r="BF76" s="175"/>
      <c r="BG76" s="175">
        <f>BG51+BG59+BG67</f>
        <v>18837666.67</v>
      </c>
      <c r="BH76" s="175"/>
      <c r="BI76" s="175"/>
      <c r="BJ76" s="175">
        <f>BJ51+BJ59+BJ67</f>
        <v>19701333.33</v>
      </c>
      <c r="BK76" s="175"/>
      <c r="BL76" s="175"/>
      <c r="BM76" s="175">
        <f>BM51+BM59+BM67</f>
        <v>20625333.33</v>
      </c>
      <c r="BN76" s="175"/>
      <c r="BO76" s="175"/>
      <c r="BP76" s="175">
        <f>BP51+BP59+BP67</f>
        <v>21657666.67</v>
      </c>
      <c r="BQ76" s="175"/>
      <c r="BR76" s="175"/>
      <c r="BS76" s="175">
        <f>BS51+BS59+BS67</f>
        <v>22638000</v>
      </c>
      <c r="BT76" s="175"/>
      <c r="BU76" s="175"/>
      <c r="BV76" s="175">
        <f>BV51+BV59+BV67</f>
        <v>23730666.67</v>
      </c>
      <c r="BW76" s="175"/>
      <c r="BX76" s="175"/>
      <c r="BY76" s="175">
        <f>BY51+BY59+BY67</f>
        <v>24883666.67</v>
      </c>
      <c r="BZ76" s="175"/>
      <c r="CA76" s="175"/>
      <c r="CB76" s="175">
        <f>CB51+CB59+CB67</f>
        <v>26036666.67</v>
      </c>
      <c r="CC76" s="175"/>
      <c r="CD76" s="175"/>
      <c r="CE76" s="175">
        <f>CE51+CE59+CE67</f>
        <v>27246000</v>
      </c>
      <c r="CF76" s="175"/>
      <c r="CG76" s="175"/>
      <c r="CH76" s="175">
        <f>CH51+CH59+CH67</f>
        <v>28567666.67</v>
      </c>
      <c r="CI76" s="175"/>
      <c r="CJ76" s="175"/>
      <c r="CK76" s="175">
        <f>CK51+CK59+CK67</f>
        <v>29897666.67</v>
      </c>
      <c r="CL76" s="175"/>
      <c r="CM76" s="175"/>
      <c r="CN76" s="175">
        <f>CN51+CN59+CN67</f>
        <v>31331666.67</v>
      </c>
      <c r="CO76" s="2"/>
      <c r="CP76" s="2"/>
    </row>
    <row r="77" ht="13.5" customHeight="1">
      <c r="A77" s="2"/>
      <c r="B77" s="70">
        <f t="shared" si="1"/>
        <v>70</v>
      </c>
      <c r="C77" s="57" t="s">
        <v>178</v>
      </c>
      <c r="D77" s="57"/>
      <c r="E77" s="182">
        <f>E75-E76</f>
        <v>0</v>
      </c>
      <c r="F77" s="182"/>
      <c r="G77" s="182"/>
      <c r="H77" s="182">
        <f>H75-H76</f>
        <v>0</v>
      </c>
      <c r="I77" s="182"/>
      <c r="J77" s="182"/>
      <c r="K77" s="182">
        <f>K75-K76</f>
        <v>-0.000000001862645149</v>
      </c>
      <c r="L77" s="182"/>
      <c r="M77" s="182"/>
      <c r="N77" s="182">
        <f>N75-N76</f>
        <v>0</v>
      </c>
      <c r="O77" s="182"/>
      <c r="P77" s="182"/>
      <c r="Q77" s="182">
        <f>Q75-Q76</f>
        <v>-0.000000001862645149</v>
      </c>
      <c r="R77" s="182"/>
      <c r="S77" s="182"/>
      <c r="T77" s="182">
        <f>T75-T76</f>
        <v>-0.000000001862645149</v>
      </c>
      <c r="U77" s="182"/>
      <c r="V77" s="182"/>
      <c r="W77" s="182">
        <f>W75-W76</f>
        <v>0</v>
      </c>
      <c r="X77" s="182"/>
      <c r="Y77" s="182"/>
      <c r="Z77" s="182">
        <f>Z75-Z76</f>
        <v>-0.000000001862645149</v>
      </c>
      <c r="AA77" s="182"/>
      <c r="AB77" s="182"/>
      <c r="AC77" s="182">
        <f>AC75-AC76</f>
        <v>0</v>
      </c>
      <c r="AD77" s="182"/>
      <c r="AE77" s="182"/>
      <c r="AF77" s="182">
        <f>AF75-AF76</f>
        <v>0.000000001862645149</v>
      </c>
      <c r="AG77" s="182"/>
      <c r="AH77" s="182"/>
      <c r="AI77" s="182">
        <f>AI75-AI76</f>
        <v>0</v>
      </c>
      <c r="AJ77" s="182"/>
      <c r="AK77" s="182"/>
      <c r="AL77" s="182">
        <f>AL75-AL76</f>
        <v>-0.000000001862645149</v>
      </c>
      <c r="AM77" s="182"/>
      <c r="AN77" s="182"/>
      <c r="AO77" s="182">
        <f>AO75-AO76</f>
        <v>0.000000001862645149</v>
      </c>
      <c r="AP77" s="182"/>
      <c r="AQ77" s="182"/>
      <c r="AR77" s="182">
        <f>AR75-AR76</f>
        <v>0</v>
      </c>
      <c r="AS77" s="182"/>
      <c r="AT77" s="182"/>
      <c r="AU77" s="182">
        <f>AU75-AU76</f>
        <v>0</v>
      </c>
      <c r="AV77" s="182"/>
      <c r="AW77" s="182"/>
      <c r="AX77" s="182">
        <f>AX75-AX76</f>
        <v>0</v>
      </c>
      <c r="AY77" s="182"/>
      <c r="AZ77" s="182"/>
      <c r="BA77" s="182">
        <f>BA75-BA76</f>
        <v>0.000000003725290298</v>
      </c>
      <c r="BB77" s="182"/>
      <c r="BC77" s="182"/>
      <c r="BD77" s="182">
        <f>BD75-BD76</f>
        <v>0</v>
      </c>
      <c r="BE77" s="182"/>
      <c r="BF77" s="182"/>
      <c r="BG77" s="182">
        <f>BG75-BG76</f>
        <v>0.000000003725290298</v>
      </c>
      <c r="BH77" s="182"/>
      <c r="BI77" s="182"/>
      <c r="BJ77" s="182">
        <f>BJ75-BJ76</f>
        <v>0</v>
      </c>
      <c r="BK77" s="182"/>
      <c r="BL77" s="182"/>
      <c r="BM77" s="182">
        <f>BM75-BM76</f>
        <v>-0.000000003725290298</v>
      </c>
      <c r="BN77" s="182"/>
      <c r="BO77" s="182"/>
      <c r="BP77" s="182">
        <f>BP75-BP76</f>
        <v>0</v>
      </c>
      <c r="BQ77" s="182"/>
      <c r="BR77" s="182"/>
      <c r="BS77" s="182">
        <f>BS75-BS76</f>
        <v>0</v>
      </c>
      <c r="BT77" s="182"/>
      <c r="BU77" s="182"/>
      <c r="BV77" s="182">
        <f>BV75-BV76</f>
        <v>0</v>
      </c>
      <c r="BW77" s="182"/>
      <c r="BX77" s="182"/>
      <c r="BY77" s="182">
        <f>BY75-BY76</f>
        <v>0</v>
      </c>
      <c r="BZ77" s="182"/>
      <c r="CA77" s="182"/>
      <c r="CB77" s="182">
        <f>CB75-CB76</f>
        <v>0.000000003725290298</v>
      </c>
      <c r="CC77" s="182"/>
      <c r="CD77" s="182"/>
      <c r="CE77" s="182">
        <f>CE75-CE76</f>
        <v>0</v>
      </c>
      <c r="CF77" s="182"/>
      <c r="CG77" s="182"/>
      <c r="CH77" s="182">
        <f>CH75-CH76</f>
        <v>0.000000003725290298</v>
      </c>
      <c r="CI77" s="182"/>
      <c r="CJ77" s="182"/>
      <c r="CK77" s="182">
        <f>CK75-CK76</f>
        <v>0.000000003725290298</v>
      </c>
      <c r="CL77" s="182"/>
      <c r="CM77" s="182"/>
      <c r="CN77" s="182">
        <f>CN75-CN76</f>
        <v>0</v>
      </c>
      <c r="CO77" s="2"/>
      <c r="CP77" s="2"/>
    </row>
    <row r="78" ht="13.5" customHeight="1">
      <c r="A78" s="2"/>
      <c r="B78" s="3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</row>
    <row r="79" ht="13.5" customHeight="1">
      <c r="A79" s="2"/>
      <c r="B79" s="32"/>
      <c r="C79" s="51" t="s">
        <v>179</v>
      </c>
      <c r="D79" s="51"/>
      <c r="E79" s="183">
        <v>9985833.333333334</v>
      </c>
      <c r="F79" s="183"/>
      <c r="G79" s="183"/>
      <c r="H79" s="183">
        <v>1.0759666666666666E7</v>
      </c>
      <c r="I79" s="183"/>
      <c r="J79" s="183"/>
      <c r="K79" s="183">
        <v>1.0558333333333334E7</v>
      </c>
      <c r="L79" s="183"/>
      <c r="M79" s="183"/>
      <c r="N79" s="183">
        <v>1.1101333333333334E7</v>
      </c>
      <c r="O79" s="183"/>
      <c r="P79" s="183"/>
      <c r="Q79" s="183">
        <v>1.1644333333333334E7</v>
      </c>
      <c r="R79" s="183"/>
      <c r="S79" s="183"/>
      <c r="T79" s="183">
        <v>1.2127E7</v>
      </c>
      <c r="U79" s="183"/>
      <c r="V79" s="183"/>
      <c r="W79" s="183">
        <v>1.2730333333333334E7</v>
      </c>
      <c r="X79" s="183"/>
      <c r="Y79" s="183"/>
      <c r="Z79" s="183">
        <v>1.3333666666666666E7</v>
      </c>
      <c r="AA79" s="183"/>
      <c r="AB79" s="183"/>
      <c r="AC79" s="183">
        <v>1.3937E7</v>
      </c>
      <c r="AD79" s="183"/>
      <c r="AE79" s="183"/>
      <c r="AF79" s="183">
        <v>1.4600666666666666E7</v>
      </c>
      <c r="AG79" s="183"/>
      <c r="AH79" s="183"/>
      <c r="AI79" s="183">
        <v>1.5324666666666666E7</v>
      </c>
      <c r="AJ79" s="183"/>
      <c r="AK79" s="183"/>
      <c r="AL79" s="183">
        <v>1.6048666666666666E7</v>
      </c>
      <c r="AM79" s="183"/>
      <c r="AN79" s="183"/>
      <c r="AO79" s="183">
        <v>1.6772666666666666E7</v>
      </c>
      <c r="AP79" s="183"/>
      <c r="AQ79" s="183"/>
      <c r="AR79" s="183">
        <v>1.7496666666666664E7</v>
      </c>
      <c r="AS79" s="183"/>
      <c r="AT79" s="183"/>
      <c r="AU79" s="183">
        <v>1.8341333333333332E7</v>
      </c>
      <c r="AV79" s="183"/>
      <c r="AW79" s="183"/>
      <c r="AX79" s="183">
        <v>1.9186E7</v>
      </c>
      <c r="AY79" s="183"/>
      <c r="AZ79" s="183"/>
      <c r="BA79" s="183">
        <v>2.0091E7</v>
      </c>
      <c r="BB79" s="183"/>
      <c r="BC79" s="183"/>
      <c r="BD79" s="183">
        <v>2.1116666666666668E7</v>
      </c>
      <c r="BE79" s="183"/>
      <c r="BF79" s="183"/>
      <c r="BG79" s="183">
        <v>2.2142333333333332E7</v>
      </c>
      <c r="BH79" s="183"/>
      <c r="BI79" s="183"/>
      <c r="BJ79" s="183">
        <v>2.3228333333333332E7</v>
      </c>
      <c r="BK79" s="183"/>
      <c r="BL79" s="183"/>
      <c r="BM79" s="183">
        <v>2.4374666666666668E7</v>
      </c>
      <c r="BN79" s="183"/>
      <c r="BO79" s="183"/>
      <c r="BP79" s="183">
        <v>2.5581333333333332E7</v>
      </c>
      <c r="BQ79" s="183"/>
      <c r="BR79" s="183"/>
      <c r="BS79" s="183">
        <v>2.6788E7</v>
      </c>
      <c r="BT79" s="183"/>
      <c r="BU79" s="183"/>
      <c r="BV79" s="183">
        <v>2.8115333333333332E7</v>
      </c>
      <c r="BW79" s="183"/>
      <c r="BX79" s="183"/>
      <c r="BY79" s="183">
        <v>2.9503E7</v>
      </c>
      <c r="BZ79" s="183"/>
      <c r="CA79" s="183"/>
      <c r="CB79" s="183">
        <v>3.0951E7</v>
      </c>
      <c r="CC79" s="183"/>
      <c r="CD79" s="183"/>
      <c r="CE79" s="183">
        <v>3.2459333333333332E7</v>
      </c>
      <c r="CF79" s="183"/>
      <c r="CG79" s="183"/>
      <c r="CH79" s="183">
        <v>3.408833333333333E7</v>
      </c>
      <c r="CI79" s="183"/>
      <c r="CJ79" s="183"/>
      <c r="CK79" s="183">
        <v>3.571733333333333E7</v>
      </c>
      <c r="CL79" s="183"/>
      <c r="CM79" s="183"/>
      <c r="CN79" s="183">
        <v>3.7467E7</v>
      </c>
      <c r="CO79" s="2"/>
      <c r="CP79" s="2"/>
    </row>
    <row r="80" ht="13.5" customHeight="1">
      <c r="A80" s="2"/>
      <c r="B80" s="32"/>
      <c r="C80" s="2"/>
      <c r="D80" s="2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2"/>
      <c r="CP80" s="2"/>
    </row>
    <row r="81" ht="13.5" customHeight="1">
      <c r="A81" s="2"/>
      <c r="B81" s="32"/>
      <c r="C81" s="51" t="s">
        <v>178</v>
      </c>
      <c r="D81" s="51"/>
      <c r="E81" s="183">
        <f>E75-E79</f>
        <v>-1005000</v>
      </c>
      <c r="F81" s="183"/>
      <c r="G81" s="183"/>
      <c r="H81" s="183">
        <f t="shared" ref="H81:CN81" si="36">H75-H79</f>
        <v>-1373666.667</v>
      </c>
      <c r="I81" s="183">
        <f t="shared" si="36"/>
        <v>0</v>
      </c>
      <c r="J81" s="183">
        <f t="shared" si="36"/>
        <v>0</v>
      </c>
      <c r="K81" s="183">
        <f t="shared" si="36"/>
        <v>-1358666.667</v>
      </c>
      <c r="L81" s="183">
        <f t="shared" si="36"/>
        <v>0</v>
      </c>
      <c r="M81" s="183">
        <f t="shared" si="36"/>
        <v>0</v>
      </c>
      <c r="N81" s="183">
        <f t="shared" si="36"/>
        <v>-1439666.667</v>
      </c>
      <c r="O81" s="183">
        <f t="shared" si="36"/>
        <v>0</v>
      </c>
      <c r="P81" s="183">
        <f t="shared" si="36"/>
        <v>0</v>
      </c>
      <c r="Q81" s="183">
        <f t="shared" si="36"/>
        <v>-1520666.667</v>
      </c>
      <c r="R81" s="183">
        <f t="shared" si="36"/>
        <v>0</v>
      </c>
      <c r="S81" s="183">
        <f t="shared" si="36"/>
        <v>0</v>
      </c>
      <c r="T81" s="183">
        <f t="shared" si="36"/>
        <v>-1593333.333</v>
      </c>
      <c r="U81" s="183">
        <f t="shared" si="36"/>
        <v>0</v>
      </c>
      <c r="V81" s="183">
        <f t="shared" si="36"/>
        <v>0</v>
      </c>
      <c r="W81" s="183">
        <f t="shared" si="36"/>
        <v>-1734666.667</v>
      </c>
      <c r="X81" s="183">
        <f t="shared" si="36"/>
        <v>0</v>
      </c>
      <c r="Y81" s="183">
        <f t="shared" si="36"/>
        <v>0</v>
      </c>
      <c r="Z81" s="183">
        <f t="shared" si="36"/>
        <v>-1824000</v>
      </c>
      <c r="AA81" s="183">
        <f t="shared" si="36"/>
        <v>0</v>
      </c>
      <c r="AB81" s="183">
        <f t="shared" si="36"/>
        <v>0</v>
      </c>
      <c r="AC81" s="183">
        <f t="shared" si="36"/>
        <v>-1905000</v>
      </c>
      <c r="AD81" s="183">
        <f t="shared" si="36"/>
        <v>0</v>
      </c>
      <c r="AE81" s="183">
        <f t="shared" si="36"/>
        <v>0</v>
      </c>
      <c r="AF81" s="183">
        <f t="shared" si="36"/>
        <v>-2050333.333</v>
      </c>
      <c r="AG81" s="183">
        <f t="shared" si="36"/>
        <v>0</v>
      </c>
      <c r="AH81" s="183">
        <f t="shared" si="36"/>
        <v>0</v>
      </c>
      <c r="AI81" s="183">
        <f t="shared" si="36"/>
        <v>-2139666.667</v>
      </c>
      <c r="AJ81" s="183">
        <f t="shared" si="36"/>
        <v>0</v>
      </c>
      <c r="AK81" s="183">
        <f t="shared" si="36"/>
        <v>0</v>
      </c>
      <c r="AL81" s="183">
        <f t="shared" si="36"/>
        <v>-2233000</v>
      </c>
      <c r="AM81" s="183">
        <f t="shared" si="36"/>
        <v>0</v>
      </c>
      <c r="AN81" s="183">
        <f t="shared" si="36"/>
        <v>0</v>
      </c>
      <c r="AO81" s="183">
        <f t="shared" si="36"/>
        <v>-2374333.333</v>
      </c>
      <c r="AP81" s="183">
        <f t="shared" si="36"/>
        <v>0</v>
      </c>
      <c r="AQ81" s="183">
        <f t="shared" si="36"/>
        <v>0</v>
      </c>
      <c r="AR81" s="183">
        <f t="shared" si="36"/>
        <v>-2467666.667</v>
      </c>
      <c r="AS81" s="183">
        <f t="shared" si="36"/>
        <v>0</v>
      </c>
      <c r="AT81" s="183">
        <f t="shared" si="36"/>
        <v>0</v>
      </c>
      <c r="AU81" s="183">
        <f t="shared" si="36"/>
        <v>-2621333.333</v>
      </c>
      <c r="AV81" s="183">
        <f t="shared" si="36"/>
        <v>0</v>
      </c>
      <c r="AW81" s="183">
        <f t="shared" si="36"/>
        <v>0</v>
      </c>
      <c r="AX81" s="183">
        <f t="shared" si="36"/>
        <v>-2771000</v>
      </c>
      <c r="AY81" s="183">
        <f t="shared" si="36"/>
        <v>0</v>
      </c>
      <c r="AZ81" s="183">
        <f t="shared" si="36"/>
        <v>0</v>
      </c>
      <c r="BA81" s="183">
        <f t="shared" si="36"/>
        <v>-2924666.667</v>
      </c>
      <c r="BB81" s="183">
        <f t="shared" si="36"/>
        <v>0</v>
      </c>
      <c r="BC81" s="183">
        <f t="shared" si="36"/>
        <v>0</v>
      </c>
      <c r="BD81" s="183">
        <f t="shared" si="36"/>
        <v>-3147000</v>
      </c>
      <c r="BE81" s="183">
        <f t="shared" si="36"/>
        <v>0</v>
      </c>
      <c r="BF81" s="183">
        <f t="shared" si="36"/>
        <v>0</v>
      </c>
      <c r="BG81" s="183">
        <f t="shared" si="36"/>
        <v>-3304666.667</v>
      </c>
      <c r="BH81" s="183">
        <f t="shared" si="36"/>
        <v>0</v>
      </c>
      <c r="BI81" s="183">
        <f t="shared" si="36"/>
        <v>0</v>
      </c>
      <c r="BJ81" s="183">
        <f t="shared" si="36"/>
        <v>-3527000</v>
      </c>
      <c r="BK81" s="183">
        <f t="shared" si="36"/>
        <v>0</v>
      </c>
      <c r="BL81" s="183">
        <f t="shared" si="36"/>
        <v>0</v>
      </c>
      <c r="BM81" s="183">
        <f t="shared" si="36"/>
        <v>-3749333.333</v>
      </c>
      <c r="BN81" s="183">
        <f t="shared" si="36"/>
        <v>0</v>
      </c>
      <c r="BO81" s="183">
        <f t="shared" si="36"/>
        <v>0</v>
      </c>
      <c r="BP81" s="183">
        <f t="shared" si="36"/>
        <v>-3923666.667</v>
      </c>
      <c r="BQ81" s="183">
        <f t="shared" si="36"/>
        <v>0</v>
      </c>
      <c r="BR81" s="183">
        <f t="shared" si="36"/>
        <v>0</v>
      </c>
      <c r="BS81" s="183">
        <f t="shared" si="36"/>
        <v>-4150000</v>
      </c>
      <c r="BT81" s="183">
        <f t="shared" si="36"/>
        <v>0</v>
      </c>
      <c r="BU81" s="183">
        <f t="shared" si="36"/>
        <v>0</v>
      </c>
      <c r="BV81" s="183">
        <f t="shared" si="36"/>
        <v>-4384666.667</v>
      </c>
      <c r="BW81" s="183">
        <f t="shared" si="36"/>
        <v>0</v>
      </c>
      <c r="BX81" s="183">
        <f t="shared" si="36"/>
        <v>0</v>
      </c>
      <c r="BY81" s="183">
        <f t="shared" si="36"/>
        <v>-4619333.333</v>
      </c>
      <c r="BZ81" s="183">
        <f t="shared" si="36"/>
        <v>0</v>
      </c>
      <c r="CA81" s="183">
        <f t="shared" si="36"/>
        <v>0</v>
      </c>
      <c r="CB81" s="183">
        <f t="shared" si="36"/>
        <v>-4914333.333</v>
      </c>
      <c r="CC81" s="183">
        <f t="shared" si="36"/>
        <v>0</v>
      </c>
      <c r="CD81" s="183">
        <f t="shared" si="36"/>
        <v>0</v>
      </c>
      <c r="CE81" s="183">
        <f t="shared" si="36"/>
        <v>-5213333.333</v>
      </c>
      <c r="CF81" s="183">
        <f t="shared" si="36"/>
        <v>0</v>
      </c>
      <c r="CG81" s="183">
        <f t="shared" si="36"/>
        <v>0</v>
      </c>
      <c r="CH81" s="183">
        <f t="shared" si="36"/>
        <v>-5520666.667</v>
      </c>
      <c r="CI81" s="183">
        <f t="shared" si="36"/>
        <v>0</v>
      </c>
      <c r="CJ81" s="183">
        <f t="shared" si="36"/>
        <v>0</v>
      </c>
      <c r="CK81" s="183">
        <f t="shared" si="36"/>
        <v>-5819666.667</v>
      </c>
      <c r="CL81" s="183">
        <f t="shared" si="36"/>
        <v>0</v>
      </c>
      <c r="CM81" s="183">
        <f t="shared" si="36"/>
        <v>0</v>
      </c>
      <c r="CN81" s="183">
        <f t="shared" si="36"/>
        <v>-6135333.333</v>
      </c>
      <c r="CO81" s="2"/>
      <c r="CP81" s="2"/>
    </row>
  </sheetData>
  <drawing r:id="rId1"/>
</worksheet>
</file>